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ed04f43e314a50/Desktop/Mercor/Project Balboa/Task 27/"/>
    </mc:Choice>
  </mc:AlternateContent>
  <xr:revisionPtr revIDLastSave="2" documentId="8_{E35DDC73-79C1-40CF-AE0D-638F80143C8A}" xr6:coauthVersionLast="47" xr6:coauthVersionMax="47" xr10:uidLastSave="{BE0C4922-8219-4BE3-A22E-E7DB692777DC}"/>
  <bookViews>
    <workbookView xWindow="-90" yWindow="-90" windowWidth="17460" windowHeight="10260" xr2:uid="{55BA541C-87BF-4142-AA52-D5FD7CD2B674}"/>
  </bookViews>
  <sheets>
    <sheet name="reconciliati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7" i="1"/>
  <c r="H15" i="1"/>
  <c r="F15" i="1"/>
  <c r="C18" i="1" s="1"/>
  <c r="E14" i="1"/>
  <c r="G14" i="1" s="1"/>
  <c r="I14" i="1" s="1"/>
  <c r="J14" i="1" s="1"/>
  <c r="E13" i="1"/>
  <c r="G13" i="1" s="1"/>
  <c r="I13" i="1" s="1"/>
  <c r="J13" i="1" s="1"/>
  <c r="E12" i="1"/>
  <c r="G12" i="1" s="1"/>
  <c r="I12" i="1" s="1"/>
  <c r="J12" i="1" s="1"/>
  <c r="E11" i="1"/>
  <c r="G11" i="1" s="1"/>
  <c r="I11" i="1" s="1"/>
  <c r="J11" i="1" s="1"/>
  <c r="E9" i="1"/>
  <c r="G9" i="1" s="1"/>
  <c r="I9" i="1" s="1"/>
  <c r="J9" i="1" s="1"/>
  <c r="E8" i="1"/>
  <c r="G8" i="1" s="1"/>
  <c r="I8" i="1" s="1"/>
  <c r="J8" i="1" s="1"/>
  <c r="I7" i="1"/>
  <c r="E6" i="1"/>
  <c r="G6" i="1" s="1"/>
  <c r="I6" i="1" s="1"/>
  <c r="J6" i="1" s="1"/>
  <c r="E5" i="1"/>
  <c r="G5" i="1" s="1"/>
  <c r="I5" i="1" s="1"/>
  <c r="J5" i="1" s="1"/>
  <c r="E4" i="1"/>
  <c r="G4" i="1" s="1"/>
  <c r="I4" i="1" s="1"/>
  <c r="J4" i="1" s="1"/>
  <c r="E3" i="1"/>
  <c r="G3" i="1" s="1"/>
  <c r="G15" i="1" l="1"/>
  <c r="I3" i="1"/>
  <c r="I15" i="1" l="1"/>
  <c r="C19" i="1" s="1"/>
  <c r="J3" i="1"/>
</calcChain>
</file>

<file path=xl/sharedStrings.xml><?xml version="1.0" encoding="utf-8"?>
<sst xmlns="http://schemas.openxmlformats.org/spreadsheetml/2006/main" count="54" uniqueCount="44">
  <si>
    <t>Apex Components  |  Q4 2025 Quote-to-Invoice Reconciliation</t>
  </si>
  <si>
    <t>Line</t>
  </si>
  <si>
    <t>Part No</t>
  </si>
  <si>
    <t>Order Qty (ea)</t>
  </si>
  <si>
    <t>Unit Net</t>
  </si>
  <si>
    <t>Base Ext</t>
  </si>
  <si>
    <t>Surcharges</t>
  </si>
  <si>
    <t>Expected Charge</t>
  </si>
  <si>
    <t>Invoiced</t>
  </si>
  <si>
    <t>Variance</t>
  </si>
  <si>
    <t>Variance %</t>
  </si>
  <si>
    <t>Status</t>
  </si>
  <si>
    <t>L01</t>
  </si>
  <si>
    <t>CAP-0402</t>
  </si>
  <si>
    <t>FLAG</t>
  </si>
  <si>
    <t>L02</t>
  </si>
  <si>
    <t>RES-0603</t>
  </si>
  <si>
    <t>OK</t>
  </si>
  <si>
    <t>L03</t>
  </si>
  <si>
    <t>MCU-32F</t>
  </si>
  <si>
    <t>L04</t>
  </si>
  <si>
    <t>CONN-USB</t>
  </si>
  <si>
    <t>L05</t>
  </si>
  <si>
    <t>SENS-IMU</t>
  </si>
  <si>
    <t>Eval sample ($0)</t>
  </si>
  <si>
    <t>L06</t>
  </si>
  <si>
    <t>PSU-24V</t>
  </si>
  <si>
    <t>L07</t>
  </si>
  <si>
    <t>OSC-100M</t>
  </si>
  <si>
    <t>L08</t>
  </si>
  <si>
    <t>CBL-CUST</t>
  </si>
  <si>
    <t>Backorder</t>
  </si>
  <si>
    <t>Excluded (backorder)</t>
  </si>
  <si>
    <t>L09</t>
  </si>
  <si>
    <t>MEM-DDR4</t>
  </si>
  <si>
    <t>L10</t>
  </si>
  <si>
    <t>DIODE-SCH</t>
  </si>
  <si>
    <t>L11</t>
  </si>
  <si>
    <t>L12</t>
  </si>
  <si>
    <t>TOTAL</t>
  </si>
  <si>
    <t>Reconciled lines</t>
  </si>
  <si>
    <t>Surcharge recovered (total)</t>
  </si>
  <si>
    <t>Avg variance per reconciled line</t>
  </si>
  <si>
    <t>Lines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</si>
</sst>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"/>
    <numFmt numFmtId="166" formatCode="0.00\%"/>
  </numFmts>
  <fonts count="6" x14ac:knownFonts="1">
    <font>
      <sz val="11"/>
      <color theme="1"/>
      <name val="Aptos Narrow"/>
      <family val="2"/>
      <scheme val="minor"/>
    </font>
    <font>
      <b/>
      <sz val="10"/>
      <color rgb="FFB8860B"/>
      <name val="Verdana"/>
      <charset val="1"/>
    </font>
    <font>
      <b/>
      <sz val="9"/>
      <color rgb="FFF5C24B"/>
      <name val="Verdana"/>
      <charset val="1"/>
    </font>
    <font>
      <sz val="9"/>
      <name val="Verdana"/>
      <charset val="1"/>
    </font>
    <font>
      <i/>
      <sz val="9"/>
      <name val="Verdana"/>
      <charset val="1"/>
    </font>
    <font>
      <b/>
      <sz val="9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7DEDE"/>
        <bgColor rgb="FFD9D2C5"/>
      </patternFill>
    </fill>
  </fills>
  <borders count="2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/>
    <xf numFmtId="166" fontId="3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3" fillId="0" borderId="0" xfId="0" applyFont="1"/>
    <xf numFmtId="165" fontId="0" fillId="0" borderId="0" xfId="0" applyNumberForma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C942-6BF6-4FEA-ADC4-C715DBFF07AC}">
  <dimension ref="A1:K20"/>
  <sheetViews>
    <sheetView tabSelected="1" zoomScale="90" zoomScaleNormal="90" workbookViewId="0">
      <selection activeCell="G12" sqref="G12"/>
    </sheetView>
  </sheetViews>
  <sheetFormatPr defaultColWidth="8.6796875" defaultRowHeight="14.75" x14ac:dyDescent="0.75"/>
  <cols>
    <col min="1" max="1" width="6" customWidth="1"/>
    <col min="2" max="2" width="11" customWidth="1"/>
    <col min="3" max="3" width="13" customWidth="1"/>
    <col min="4" max="6" width="11" customWidth="1"/>
    <col min="7" max="7" width="15" customWidth="1"/>
    <col min="8" max="8" width="12" customWidth="1"/>
    <col min="9" max="10" width="11" customWidth="1"/>
    <col min="11" max="11" width="18" customWidth="1"/>
  </cols>
  <sheetData>
    <row r="1" spans="1:11" x14ac:dyDescent="0.75">
      <c r="A1" s="1" t="s">
        <v>0</v>
      </c>
    </row>
    <row r="2" spans="1:11" x14ac:dyDescent="0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75">
      <c r="A3" s="3" t="s">
        <v>12</v>
      </c>
      <c r="B3" s="4" t="s">
        <v>13</v>
      </c>
      <c r="C3" s="5">
        <v>10000</v>
      </c>
      <c r="D3" s="6">
        <v>3.5700000000000003E-2</v>
      </c>
      <c r="E3" s="6">
        <f>ROUND(C3*D3,2)</f>
        <v>357</v>
      </c>
      <c r="F3" s="6">
        <v>15</v>
      </c>
      <c r="G3" s="6">
        <f>ROUND(E3+F3,2)</f>
        <v>372</v>
      </c>
      <c r="H3" s="6">
        <v>345</v>
      </c>
      <c r="I3" s="6">
        <f>ROUND(H3-G3,2)</f>
        <v>-27</v>
      </c>
      <c r="J3" s="7">
        <f>ROUND(I3/G3*100,2)</f>
        <v>-7.26</v>
      </c>
      <c r="K3" s="3" t="s">
        <v>14</v>
      </c>
    </row>
    <row r="4" spans="1:11" x14ac:dyDescent="0.75">
      <c r="A4" s="8" t="s">
        <v>15</v>
      </c>
      <c r="B4" s="9" t="s">
        <v>16</v>
      </c>
      <c r="C4" s="10">
        <v>15000</v>
      </c>
      <c r="D4" s="11">
        <v>1.2699999999999999E-2</v>
      </c>
      <c r="E4" s="11">
        <f>ROUND(C4*D4,2)</f>
        <v>190.5</v>
      </c>
      <c r="F4" s="11">
        <v>11.43</v>
      </c>
      <c r="G4" s="11">
        <f>ROUND(E4+F4,2)</f>
        <v>201.93</v>
      </c>
      <c r="H4" s="11">
        <v>201.93</v>
      </c>
      <c r="I4" s="11">
        <f>ROUND(H4-G4,2)</f>
        <v>0</v>
      </c>
      <c r="J4" s="12">
        <f>ROUND(I4/G4*100,2)</f>
        <v>0</v>
      </c>
      <c r="K4" s="8" t="s">
        <v>17</v>
      </c>
    </row>
    <row r="5" spans="1:11" x14ac:dyDescent="0.75">
      <c r="A5" s="8" t="s">
        <v>18</v>
      </c>
      <c r="B5" s="9" t="s">
        <v>19</v>
      </c>
      <c r="C5" s="10">
        <v>1200</v>
      </c>
      <c r="D5" s="11">
        <v>3.1875</v>
      </c>
      <c r="E5" s="11">
        <f>ROUND(C5*D5,2)</f>
        <v>3825</v>
      </c>
      <c r="F5" s="11">
        <v>0</v>
      </c>
      <c r="G5" s="11">
        <f>ROUND(E5+F5,2)</f>
        <v>3825</v>
      </c>
      <c r="H5" s="11">
        <v>3825</v>
      </c>
      <c r="I5" s="11">
        <f>ROUND(H5-G5,2)</f>
        <v>0</v>
      </c>
      <c r="J5" s="12">
        <f>ROUND(I5/G5*100,2)</f>
        <v>0</v>
      </c>
      <c r="K5" s="8" t="s">
        <v>17</v>
      </c>
    </row>
    <row r="6" spans="1:11" x14ac:dyDescent="0.75">
      <c r="A6" s="8" t="s">
        <v>20</v>
      </c>
      <c r="B6" s="9" t="s">
        <v>21</v>
      </c>
      <c r="C6" s="10">
        <v>2000</v>
      </c>
      <c r="D6" s="11">
        <v>0.68</v>
      </c>
      <c r="E6" s="11">
        <f>ROUND(C6*D6,2)</f>
        <v>1360</v>
      </c>
      <c r="F6" s="11">
        <v>0</v>
      </c>
      <c r="G6" s="11">
        <f>ROUND(E6+F6,2)</f>
        <v>1360</v>
      </c>
      <c r="H6" s="11">
        <v>1360</v>
      </c>
      <c r="I6" s="11">
        <f>ROUND(H6-G6,2)</f>
        <v>0</v>
      </c>
      <c r="J6" s="12">
        <f>ROUND(I6/G6*100,2)</f>
        <v>0</v>
      </c>
      <c r="K6" s="8" t="s">
        <v>17</v>
      </c>
    </row>
    <row r="7" spans="1:11" x14ac:dyDescent="0.75">
      <c r="A7" s="8" t="s">
        <v>22</v>
      </c>
      <c r="B7" s="9" t="s">
        <v>23</v>
      </c>
      <c r="C7" s="13"/>
      <c r="D7" s="14"/>
      <c r="E7" s="13"/>
      <c r="F7" s="13"/>
      <c r="G7" s="14">
        <v>0</v>
      </c>
      <c r="H7" s="14">
        <v>0</v>
      </c>
      <c r="I7" s="14">
        <f>H7-G7</f>
        <v>0</v>
      </c>
      <c r="J7" s="15">
        <v>0</v>
      </c>
      <c r="K7" s="16" t="s">
        <v>24</v>
      </c>
    </row>
    <row r="8" spans="1:11" x14ac:dyDescent="0.75">
      <c r="A8" s="3" t="s">
        <v>25</v>
      </c>
      <c r="B8" s="4" t="s">
        <v>26</v>
      </c>
      <c r="C8" s="5">
        <v>40</v>
      </c>
      <c r="D8" s="6">
        <v>74.8</v>
      </c>
      <c r="E8" s="6">
        <f>ROUND(C8*D8,2)</f>
        <v>2992</v>
      </c>
      <c r="F8" s="6">
        <v>0</v>
      </c>
      <c r="G8" s="6">
        <f>ROUND(E8+F8,2)</f>
        <v>2992</v>
      </c>
      <c r="H8" s="6">
        <v>3100</v>
      </c>
      <c r="I8" s="6">
        <f>ROUND(H8-G8,2)</f>
        <v>108</v>
      </c>
      <c r="J8" s="7">
        <f>ROUND(I8/G8*100,2)</f>
        <v>3.61</v>
      </c>
      <c r="K8" s="3" t="s">
        <v>14</v>
      </c>
    </row>
    <row r="9" spans="1:11" x14ac:dyDescent="0.75">
      <c r="A9" s="8" t="s">
        <v>27</v>
      </c>
      <c r="B9" s="9" t="s">
        <v>28</v>
      </c>
      <c r="C9" s="10">
        <v>3</v>
      </c>
      <c r="D9" s="11">
        <v>544</v>
      </c>
      <c r="E9" s="11">
        <f>ROUND(C9*D9,2)</f>
        <v>1632</v>
      </c>
      <c r="F9" s="11">
        <v>45</v>
      </c>
      <c r="G9" s="11">
        <f>ROUND(E9+F9,2)</f>
        <v>1677</v>
      </c>
      <c r="H9" s="11">
        <v>1677</v>
      </c>
      <c r="I9" s="11">
        <f>ROUND(H9-G9,2)</f>
        <v>0</v>
      </c>
      <c r="J9" s="12">
        <f>ROUND(I9/G9*100,2)</f>
        <v>0</v>
      </c>
      <c r="K9" s="8" t="s">
        <v>17</v>
      </c>
    </row>
    <row r="10" spans="1:11" x14ac:dyDescent="0.75">
      <c r="A10" s="8" t="s">
        <v>29</v>
      </c>
      <c r="B10" s="9" t="s">
        <v>30</v>
      </c>
      <c r="C10" s="8" t="s">
        <v>31</v>
      </c>
      <c r="D10" s="23"/>
      <c r="E10" s="17"/>
      <c r="F10" s="17"/>
      <c r="G10" s="17"/>
      <c r="H10" s="17"/>
      <c r="I10" s="17"/>
      <c r="J10" s="17"/>
      <c r="K10" s="13" t="s">
        <v>32</v>
      </c>
    </row>
    <row r="11" spans="1:11" x14ac:dyDescent="0.75">
      <c r="A11" s="8" t="s">
        <v>33</v>
      </c>
      <c r="B11" s="9" t="s">
        <v>34</v>
      </c>
      <c r="C11" s="10">
        <v>2000</v>
      </c>
      <c r="D11" s="11">
        <v>4.1224999999999996</v>
      </c>
      <c r="E11" s="11">
        <f>ROUND(C11*D11,2)</f>
        <v>8245</v>
      </c>
      <c r="F11" s="11">
        <v>494.7</v>
      </c>
      <c r="G11" s="11">
        <f>ROUND(E11+F11,2)</f>
        <v>8739.7000000000007</v>
      </c>
      <c r="H11" s="11">
        <v>8739.7000000000007</v>
      </c>
      <c r="I11" s="11">
        <f>ROUND(H11-G11,2)</f>
        <v>0</v>
      </c>
      <c r="J11" s="12">
        <f>ROUND(I11/G11*100,2)</f>
        <v>0</v>
      </c>
      <c r="K11" s="8" t="s">
        <v>17</v>
      </c>
    </row>
    <row r="12" spans="1:11" x14ac:dyDescent="0.75">
      <c r="A12" s="3" t="s">
        <v>35</v>
      </c>
      <c r="B12" s="4" t="s">
        <v>36</v>
      </c>
      <c r="C12" s="5">
        <v>20000</v>
      </c>
      <c r="D12" s="6">
        <v>6.3799999999999996E-2</v>
      </c>
      <c r="E12" s="6">
        <f>ROUND(C12*D12,2)</f>
        <v>1276</v>
      </c>
      <c r="F12" s="6">
        <v>15</v>
      </c>
      <c r="G12" s="6">
        <f>ROUND(E12+F12,2)</f>
        <v>1291</v>
      </c>
      <c r="H12" s="6">
        <v>1250</v>
      </c>
      <c r="I12" s="6">
        <f>ROUND(H12-G12,2)</f>
        <v>-41</v>
      </c>
      <c r="J12" s="7">
        <f>ROUND(I12/G12*100,2)</f>
        <v>-3.18</v>
      </c>
      <c r="K12" s="3" t="s">
        <v>14</v>
      </c>
    </row>
    <row r="13" spans="1:11" x14ac:dyDescent="0.75">
      <c r="A13" s="8" t="s">
        <v>37</v>
      </c>
      <c r="B13" s="9" t="s">
        <v>16</v>
      </c>
      <c r="C13" s="10">
        <v>1500</v>
      </c>
      <c r="D13" s="11">
        <v>1.5299999999999999E-2</v>
      </c>
      <c r="E13" s="11">
        <f>ROUND(C13*D13,2)</f>
        <v>22.95</v>
      </c>
      <c r="F13" s="11">
        <v>1.38</v>
      </c>
      <c r="G13" s="11">
        <f>ROUND(E13+F13,2)</f>
        <v>24.33</v>
      </c>
      <c r="H13" s="11">
        <v>24.33</v>
      </c>
      <c r="I13" s="11">
        <f>ROUND(H13-G13,2)</f>
        <v>0</v>
      </c>
      <c r="J13" s="12">
        <f>ROUND(I13/G13*100,2)</f>
        <v>0</v>
      </c>
      <c r="K13" s="8" t="s">
        <v>17</v>
      </c>
    </row>
    <row r="14" spans="1:11" x14ac:dyDescent="0.75">
      <c r="A14" s="8" t="s">
        <v>38</v>
      </c>
      <c r="B14" s="9" t="s">
        <v>21</v>
      </c>
      <c r="C14" s="10">
        <v>300</v>
      </c>
      <c r="D14" s="11">
        <v>0.76500000000000001</v>
      </c>
      <c r="E14" s="11">
        <f>ROUND(C14*D14,2)</f>
        <v>229.5</v>
      </c>
      <c r="F14" s="11">
        <v>0</v>
      </c>
      <c r="G14" s="11">
        <f>ROUND(E14+F14,2)</f>
        <v>229.5</v>
      </c>
      <c r="H14" s="11">
        <v>254.5</v>
      </c>
      <c r="I14" s="11">
        <f>ROUND(H14-G14,2)</f>
        <v>25</v>
      </c>
      <c r="J14" s="12">
        <f>ROUND(I14/G14*100,2)</f>
        <v>10.89</v>
      </c>
      <c r="K14" s="8" t="s">
        <v>17</v>
      </c>
    </row>
    <row r="15" spans="1:11" x14ac:dyDescent="0.75">
      <c r="A15" s="18" t="s">
        <v>39</v>
      </c>
      <c r="B15" s="17"/>
      <c r="C15" s="17"/>
      <c r="D15" s="17"/>
      <c r="E15" s="17"/>
      <c r="F15" s="19">
        <f>F3+F4+F5+F6+F8+F9+F11+F12+F13+F14</f>
        <v>582.51</v>
      </c>
      <c r="G15" s="19">
        <f>G3+G4+G5+G6+G8+G9+G11+G12+G13+G14</f>
        <v>20712.460000000003</v>
      </c>
      <c r="H15" s="19">
        <f>H3+H4+H5+H6+H8+H9+H11+H12+H13+H14</f>
        <v>20777.460000000003</v>
      </c>
      <c r="I15" s="19">
        <f>I3+I4+I5+I6+I8+I9+I11+I12+I13+I14</f>
        <v>65</v>
      </c>
      <c r="J15" s="17"/>
      <c r="K15" s="17"/>
    </row>
    <row r="17" spans="1:3" x14ac:dyDescent="0.75">
      <c r="A17" s="20" t="s">
        <v>40</v>
      </c>
      <c r="C17" s="21">
        <f>COUNTA(A3:A14)-COUNTIF(K3:K14,"Eval sample ($0)")-COUNTIF(K3:K14,"Excluded (backorder)")</f>
        <v>10</v>
      </c>
    </row>
    <row r="18" spans="1:3" x14ac:dyDescent="0.75">
      <c r="A18" s="20" t="s">
        <v>41</v>
      </c>
      <c r="C18" s="22">
        <f>F15</f>
        <v>582.51</v>
      </c>
    </row>
    <row r="19" spans="1:3" x14ac:dyDescent="0.75">
      <c r="A19" s="20" t="s">
        <v>42</v>
      </c>
      <c r="C19" s="22">
        <f>ROUND(I15/C17,2)</f>
        <v>6.5</v>
      </c>
    </row>
    <row r="20" spans="1:3" x14ac:dyDescent="0.75">
      <c r="A20" s="20" t="s">
        <v>43</v>
      </c>
      <c r="C20" s="21">
        <f>COUNTIF(K3:K14,"FLAG")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Desmarais</dc:creator>
  <cp:lastModifiedBy>Carson Desmarais</cp:lastModifiedBy>
  <dcterms:created xsi:type="dcterms:W3CDTF">2026-07-10T18:13:19Z</dcterms:created>
  <dcterms:modified xsi:type="dcterms:W3CDTF">2026-07-10T20:20:02Z</dcterms:modified>
</cp:coreProperties>
</file>