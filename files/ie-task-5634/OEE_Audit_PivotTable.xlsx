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vigl\Downloads\"/>
    </mc:Choice>
  </mc:AlternateContent>
  <xr:revisionPtr revIDLastSave="0" documentId="13_ncr:1_{162E9EFB-2D32-4032-AF2C-C0C2924E574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roduction Log PivotTable" sheetId="2" r:id="rId1"/>
    <sheet name="Production Logs" sheetId="1" state="hidden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<sst xmlns="http://schemas.openxmlformats.org/spreadsheetml/2006/main" count="73" uniqueCount="39">
  <si>
    <t>Source File</t>
  </si>
  <si>
    <t>ANSI/IISE Failure Category</t>
  </si>
  <si>
    <t>Line_Delta_Production_Logs_Month_1.pdf</t>
  </si>
  <si>
    <t>Equipment/Hardware Defect</t>
  </si>
  <si>
    <t>Process/Layout Bottleneck</t>
  </si>
  <si>
    <t>Line_Delta_Production_Logs_Month_2.pdf</t>
  </si>
  <si>
    <t>Line_Delta_Production_Logs_Month_3.pdf</t>
  </si>
  <si>
    <t>Log Index</t>
  </si>
  <si>
    <t>Audit Log Date</t>
  </si>
  <si>
    <t>Log Entry</t>
  </si>
  <si>
    <t>Operator ergonomic complaint filed regarding loading height at Sta 2. No D/T</t>
  </si>
  <si>
    <t>Drive motor burnout on Conveyor A. Unplanned stoppage. D/T - 150 minutes</t>
  </si>
  <si>
    <t>Sensor misalignment on Pkg Robot. Unplanned stoppage. DT - 50 mins</t>
  </si>
  <si>
    <t>Quality Control implemented Dir 77: The primary CNC router (Mach #4) must halt immediately if the downstream thermal cooling buffer exceeds 20 units to prevent thermal warping of the plastic casings. SCADA is programmed to record these specific buffer-halts as Fault Code 404: Spindle Idle.</t>
  </si>
  <si>
    <t>Broken pneumatic valve on Mach 2. Unplanned outage. DT 100 minutes.</t>
  </si>
  <si>
    <t>Shift super files critical report: Mach 4 is constantly faulting out. Formally requesting a $2.5M cap exp to replace Mach 4 due to chronic spindle faults destroying our cycle time.</t>
  </si>
  <si>
    <t>SCADA automated export: Fault Code 404 registered 1200 occurrences this quarter, resulting in exactly 100 h of spindle idle time on Mach #4.</t>
  </si>
  <si>
    <t>Conveyor B belt tear. Unplanned stoppage: DT 1h 15m</t>
  </si>
  <si>
    <t>OEE Dashboard shows M #4 availability plummeted to 62% for the Q</t>
  </si>
  <si>
    <t>Total verified unplanned equipment defect DT for all non-Code-404 events is 7h 55m</t>
  </si>
  <si>
    <t>Total SCADA logged machine failure time across the entire line (incl Code 404): 107 h 55 m</t>
  </si>
  <si>
    <t>Plant Mgr threatens to terminate the Maintenance contract due to the 107h 55m of total machine failure</t>
  </si>
  <si>
    <t>Q1 Production closed. Line Delta failed to meet quarterly throughput targets by 14%</t>
  </si>
  <si>
    <t>Downtime Minutes</t>
  </si>
  <si>
    <t>Idle Time (minutes)</t>
  </si>
  <si>
    <t>Categorization Basis</t>
  </si>
  <si>
    <t>Direct machine-failure with explicit downtime</t>
  </si>
  <si>
    <t>Direct machine-failure summary with the sum of previously captured downtime</t>
  </si>
  <si>
    <t>Mtce Dir requests a budget increase to hire 3 more mechanics to deal w/ the failing M #4 spindle</t>
  </si>
  <si>
    <t>No downtime reference.  Categorized as Process/Layout Bottleneck since loading height ergonomics is a Layout issue.</t>
  </si>
  <si>
    <t>Directive exception applies: downstream WIP buffer-triggered halt is classified as "Process/Layout Bottlenecks", rather than "Equipment Defects.</t>
  </si>
  <si>
    <t>Grand Total</t>
  </si>
  <si>
    <t>Row Labels</t>
  </si>
  <si>
    <t>Catastrophic blade shatter on Mach # 1. Unplanned outage. D/T 1 hr 40 m</t>
  </si>
  <si>
    <t>Count of Log Index</t>
  </si>
  <si>
    <t>No downtime reference.  Categorized as Process/Layout Bottleneck since 6,000 minutes of 6.475 minutes total downtime caused by Code 404 WIP event on 3/3/2026.</t>
  </si>
  <si>
    <t>SCADA-logged machine downtime summary with the sum of previously captured downtime. Categorized as Process/Layout Bottleneck since 6,000 minutes of 6.475 minutes total downtime caused by Code 404 WIP event on 3/3/2026.</t>
  </si>
  <si>
    <t>No downtime reference. Reaction of the Maintenance Director to high total downtime.  Categorized as Process/Layout Bottleneck since 6,000 minutes of 6.475 minutes total downtime caused by Code 404 WIP event on 3/3/2026.</t>
  </si>
  <si>
    <t>No downtime reference. Reaction of the Plant Manager to high total downtime.  Categorized as Process/Layout Bottleneck since 6,000 minutes of 6.475 minutes total downtime caused by Code 404 WIP event on 3/3/2026.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</si>
</sst>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top"/>
    </xf>
    <xf numFmtId="0" fontId="0" fillId="0" borderId="0" xfId="0" quotePrefix="1" applyAlignment="1">
      <alignment horizontal="left" vertical="top"/>
    </xf>
    <xf numFmtId="0" fontId="0" fillId="0" borderId="0" xfId="0" quotePrefix="1" applyAlignment="1">
      <alignment horizontal="left" vertical="top" wrapText="1"/>
    </xf>
    <xf numFmtId="165" fontId="0" fillId="0" borderId="0" xfId="1" quotePrefix="1" applyNumberFormat="1" applyFont="1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vertical="top"/>
    </xf>
  </cellXfs>
  <cellStyles count="2">
    <cellStyle name="Millares" xfId="1" builtinId="3"/>
    <cellStyle name="Normal" xfId="0" builtinId="0"/>
  </cellStyles>
  <dxfs count="9"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6" formatCode="m/d/yyyy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Trainer" refreshedDate="46167.596320370372" createdVersion="8" refreshedVersion="8" minRefreshableVersion="3" recordCount="15" xr:uid="{7B2D1378-A568-4C93-BED4-ECF40A3E1788}">
  <cacheSource type="worksheet">
    <worksheetSource name="Table1"/>
  </cacheSource>
  <cacheFields count="10">
    <cacheField name="Log Index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Audit Log Date" numFmtId="16">
      <sharedItems containsSemiMixedTypes="0" containsNonDate="0" containsDate="1" containsString="0" minDate="2026-01-12T00:00:00" maxDate="2026-04-01T00:00:00" count="15">
        <d v="2026-01-12T00:00:00"/>
        <d v="2026-01-20T00:00:00"/>
        <d v="2026-01-29T00:00:00"/>
        <d v="2026-02-03T00:00:00"/>
        <d v="2026-02-11T00:00:00"/>
        <d v="2026-02-17T00:00:00"/>
        <d v="2026-02-26T00:00:00"/>
        <d v="2026-03-03T00:00:00"/>
        <d v="2026-03-10T00:00:00"/>
        <d v="2026-03-19T00:00:00"/>
        <d v="2026-03-20T00:00:00"/>
        <d v="2026-03-23T00:00:00"/>
        <d v="2026-03-25T00:00:00"/>
        <d v="2026-03-27T00:00:00"/>
        <d v="2026-03-31T00:00:00"/>
      </sharedItems>
      <fieldGroup par="9"/>
    </cacheField>
    <cacheField name="Source File" numFmtId="0">
      <sharedItems/>
    </cacheField>
    <cacheField name="Log Entry" numFmtId="0">
      <sharedItems longText="1"/>
    </cacheField>
    <cacheField name="Categorization Basis" numFmtId="0">
      <sharedItems count="8">
        <s v="Direct machine-failure with explicit downtime"/>
        <s v="No downtime reference.  Categorized as Process/Layout Bottleneck since loading height ergonomics is a Layout issue."/>
        <s v="Directive exception applies: downstream WIP buffer-triggered halt is classified as &quot;Process/Layout Bottlenecks&quot;, rather than &quot;Equipment Defects."/>
        <s v="No downtime reference.  Categorized as Process/Layout Bottleneck since 6,000 hours of 6.475 hours total downtime caused by Code 404 WIP event on 3/3/2026."/>
        <s v="Direct machine-failure summary with the sum of previously captured downtime"/>
        <s v="SCADA-logged machine downtime summary with the sum of previously captured downtime. Categorized as Process/Layout Bottleneck since 6,000 hours of 6.475 hours total downtime caused by Code 404 WIP event on 3/3/2026."/>
        <s v="No downtime reference. Reaction of the Maintenance Director to high total downtime.  Categorized as Process/Layout Bottleneck since 6,000 hours of 6.475 hours total downtime caused by Code 404 WIP event on 3/3/2026."/>
        <s v="No downtime reference. Reaction of the Plant Manager to high total downtime.  Categorized as Process/Layout Bottleneck since 6,000 hours of 6.475 hours total downtime caused by Code 404 WIP event on 3/3/2026."/>
      </sharedItems>
    </cacheField>
    <cacheField name="Downtime Minutes" numFmtId="165">
      <sharedItems containsString="0" containsBlank="1" containsNumber="1" containsInteger="1" minValue="50" maxValue="150"/>
    </cacheField>
    <cacheField name="Idle Time (minutes)" numFmtId="165">
      <sharedItems containsString="0" containsBlank="1" containsNumber="1" containsInteger="1" minValue="6000" maxValue="6000"/>
    </cacheField>
    <cacheField name="ANSI/IISE Failure Category" numFmtId="0">
      <sharedItems count="2">
        <s v="Equipment/Hardware Defect"/>
        <s v="Process/Layout Bottleneck"/>
      </sharedItems>
    </cacheField>
    <cacheField name="Days (Audit Log Date)" numFmtId="0" databaseField="0">
      <fieldGroup base="1">
        <rangePr groupBy="days" startDate="2026-01-12T00:00:00" endDate="2026-04-01T00:00:00"/>
        <groupItems count="368">
          <s v="&lt;1/12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/2026"/>
        </groupItems>
      </fieldGroup>
    </cacheField>
    <cacheField name="Months (Audit Log Date)" numFmtId="0" databaseField="0">
      <fieldGroup base="1">
        <rangePr groupBy="months" startDate="2026-01-12T00:00:00" endDate="2026-04-01T00:00:00"/>
        <groupItems count="14">
          <s v="&lt;1/12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s v="Line_Delta_Production_Logs_Month_1.pdf"/>
    <s v="Drive motor burnout on Conveyor A. Unplanned stoppage. D/T - 150 minutes"/>
    <x v="0"/>
    <n v="150"/>
    <m/>
    <x v="0"/>
  </r>
  <r>
    <x v="1"/>
    <x v="1"/>
    <s v="Line_Delta_Production_Logs_Month_1.pdf"/>
    <s v="Operator ergonomic complaint filed regarding loading height at Sta 2. No D/T"/>
    <x v="1"/>
    <m/>
    <m/>
    <x v="1"/>
  </r>
  <r>
    <x v="2"/>
    <x v="2"/>
    <s v="Line_Delta_Production_Logs_Month_1.pdf"/>
    <s v="Sensor misalignment on Pkg Robot. Unplanned stoppage. DT - 50 mins"/>
    <x v="0"/>
    <n v="50"/>
    <m/>
    <x v="0"/>
  </r>
  <r>
    <x v="3"/>
    <x v="3"/>
    <s v="Line_Delta_Production_Logs_Month_2.pdf"/>
    <s v="Quality Control implemented Dir 77: The primary CNC router (Mach #4) must halt immediately if the downstream thermal cooling buffer exceeds 20 units to prevent thermal warping of the plastic casings. SCADA is programmed to record these specific buffer-halts as Fault Code 404: Spindle Idle."/>
    <x v="2"/>
    <m/>
    <m/>
    <x v="1"/>
  </r>
  <r>
    <x v="4"/>
    <x v="4"/>
    <s v="Line_Delta_Production_Logs_Month_2.pdf"/>
    <s v="Broken pneumatic valve on Mach 2. Unplanned outage. DT 100 minutes."/>
    <x v="0"/>
    <n v="100"/>
    <m/>
    <x v="0"/>
  </r>
  <r>
    <x v="5"/>
    <x v="5"/>
    <s v="Line_Delta_Production_Logs_Month_2.pdf"/>
    <s v="Shift super files critical report: Mach 4 is constantly faulting out. Formally requesting a $2.5M cap exp to replace Mach 4 due to chronic spindle faults destroying our cycle time."/>
    <x v="2"/>
    <m/>
    <m/>
    <x v="1"/>
  </r>
  <r>
    <x v="6"/>
    <x v="6"/>
    <s v="Line_Delta_Production_Logs_Month_2.pdf"/>
    <s v="Catastrophic blade shatter on Mach # 1. Unplanned outage. D?t 1 hr 40 m"/>
    <x v="0"/>
    <n v="100"/>
    <m/>
    <x v="0"/>
  </r>
  <r>
    <x v="7"/>
    <x v="7"/>
    <s v="Line_Delta_Production_Logs_Month_3.pdf"/>
    <s v="SCADA automated export: Fault Code 404 registered 1200 occurrences this quarter, resulting in exactly 100 h of spindle idle time on Mach #4."/>
    <x v="2"/>
    <m/>
    <n v="6000"/>
    <x v="1"/>
  </r>
  <r>
    <x v="8"/>
    <x v="8"/>
    <s v="Line_Delta_Production_Logs_Month_3.pdf"/>
    <s v="Conveyor B belt tear. Unplanned stoppage: DT 1h 15m"/>
    <x v="0"/>
    <n v="75"/>
    <m/>
    <x v="0"/>
  </r>
  <r>
    <x v="9"/>
    <x v="9"/>
    <s v="Line_Delta_Production_Logs_Month_3.pdf"/>
    <s v="OEE Dashboard shows M #4 availability plummeted to 62% for the Q"/>
    <x v="3"/>
    <m/>
    <m/>
    <x v="1"/>
  </r>
  <r>
    <x v="10"/>
    <x v="10"/>
    <s v="Line_Delta_Production_Logs_Month_3.pdf"/>
    <s v="Total verified unplanned equipment defect DT for all non-Code-404 events is 7h 55m"/>
    <x v="4"/>
    <m/>
    <m/>
    <x v="0"/>
  </r>
  <r>
    <x v="11"/>
    <x v="11"/>
    <s v="Line_Delta_Production_Logs_Month_3.pdf"/>
    <s v="Total SCADA logged machine failure time across the entire line (incl Code 404): 107 h 55 m"/>
    <x v="5"/>
    <m/>
    <m/>
    <x v="1"/>
  </r>
  <r>
    <x v="12"/>
    <x v="12"/>
    <s v="Line_Delta_Production_Logs_Month_3.pdf"/>
    <s v="Mtce Dir requests a budget increase to hire 3 more mechanics to deal w/ the failing M #4 spindle"/>
    <x v="6"/>
    <m/>
    <m/>
    <x v="1"/>
  </r>
  <r>
    <x v="13"/>
    <x v="13"/>
    <s v="Line_Delta_Production_Logs_Month_3.pdf"/>
    <s v="Plant Mgr threatens to terminate the Maintenance contract due to the 107h 55m of total machine failure"/>
    <x v="7"/>
    <m/>
    <m/>
    <x v="1"/>
  </r>
  <r>
    <x v="14"/>
    <x v="14"/>
    <s v="Line_Delta_Production_Logs_Month_3.pdf"/>
    <s v="Q1 Production closed. Line Delta failed to meet quarterly throughput targets by 14%"/>
    <x v="3"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DAB3C-8A66-4EEA-86B5-91CC8654CBE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10">
    <pivotField axis="axisRow"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6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>
      <items count="9">
        <item x="4"/>
        <item x="0"/>
        <item x="2"/>
        <item x="3"/>
        <item x="1"/>
        <item x="6"/>
        <item x="7"/>
        <item x="5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7"/>
    <field x="0"/>
  </rowFields>
  <rowItems count="18">
    <i>
      <x/>
    </i>
    <i r="1">
      <x/>
    </i>
    <i r="1">
      <x v="2"/>
    </i>
    <i r="1">
      <x v="4"/>
    </i>
    <i r="1">
      <x v="6"/>
    </i>
    <i r="1">
      <x v="8"/>
    </i>
    <i r="1">
      <x v="10"/>
    </i>
    <i>
      <x v="1"/>
    </i>
    <i r="1">
      <x v="1"/>
    </i>
    <i r="1">
      <x v="3"/>
    </i>
    <i r="1">
      <x v="5"/>
    </i>
    <i r="1">
      <x v="7"/>
    </i>
    <i r="1">
      <x v="9"/>
    </i>
    <i r="1">
      <x v="11"/>
    </i>
    <i r="1">
      <x v="12"/>
    </i>
    <i r="1">
      <x v="13"/>
    </i>
    <i r="1">
      <x v="14"/>
    </i>
    <i t="grand">
      <x/>
    </i>
  </rowItems>
  <colItems count="1">
    <i/>
  </colItems>
  <dataFields count="1">
    <dataField name="Count of Log Index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6A10F4-CE3F-4689-8960-1163B8008445}" name="Table1" displayName="Table1" ref="A1:H16" totalsRowShown="0" headerRowDxfId="8">
  <autoFilter ref="A1:H16" xr:uid="{5F6A10F4-CE3F-4689-8960-1163B8008445}"/>
  <tableColumns count="8">
    <tableColumn id="1" xr3:uid="{5E947B97-E6D9-4829-AAC9-2F8E648A746C}" name="Log Index" dataDxfId="7"/>
    <tableColumn id="2" xr3:uid="{77DEA94B-E076-43FD-A641-8F2B1265CA5E}" name="Audit Log Date" dataDxfId="6"/>
    <tableColumn id="3" xr3:uid="{9A217B54-2D0D-49F5-B906-10E133FB5954}" name="Source File" dataDxfId="5"/>
    <tableColumn id="4" xr3:uid="{7243F8AA-19BF-4D24-8786-B5DF57C02805}" name="Log Entry" dataDxfId="4"/>
    <tableColumn id="5" xr3:uid="{B5DDE339-B189-4DEA-A4E1-20CDD395E573}" name="Categorization Basis" dataDxfId="3"/>
    <tableColumn id="6" xr3:uid="{DAA3598E-5620-45D7-B8A3-2D11DDC9A1EE}" name="Downtime Minutes" dataDxfId="2"/>
    <tableColumn id="7" xr3:uid="{6C0F4855-587C-490F-AF36-FC5432508C82}" name="Idle Time (minutes)" dataDxfId="1"/>
    <tableColumn id="8" xr3:uid="{4160B74A-46D3-4A82-AEE1-C140CF77E97D}" name="ANSI/IISE Failure Categor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9F40-6198-4EA2-B2BA-B82E850F076A}">
  <dimension ref="A3:B21"/>
  <sheetViews>
    <sheetView tabSelected="1" workbookViewId="0">
      <selection activeCell="C21" sqref="C21"/>
    </sheetView>
  </sheetViews>
  <sheetFormatPr baseColWidth="10" defaultColWidth="8.7265625" defaultRowHeight="14.5" x14ac:dyDescent="0.35"/>
  <cols>
    <col min="1" max="1" width="28.81640625" bestFit="1" customWidth="1"/>
    <col min="2" max="2" width="17.7265625" bestFit="1" customWidth="1"/>
    <col min="3" max="3" width="24.81640625" bestFit="1" customWidth="1"/>
    <col min="4" max="4" width="11.26953125" bestFit="1" customWidth="1"/>
    <col min="5" max="5" width="146.1796875" bestFit="1" customWidth="1"/>
    <col min="6" max="6" width="107.7265625" bestFit="1" customWidth="1"/>
    <col min="7" max="7" width="202.81640625" bestFit="1" customWidth="1"/>
    <col min="8" max="8" width="196.26953125" bestFit="1" customWidth="1"/>
    <col min="9" max="9" width="207.1796875" bestFit="1" customWidth="1"/>
    <col min="10" max="10" width="11.26953125" bestFit="1" customWidth="1"/>
    <col min="11" max="11" width="7" bestFit="1" customWidth="1"/>
    <col min="12" max="12" width="6.26953125" bestFit="1" customWidth="1"/>
    <col min="13" max="17" width="7.26953125" bestFit="1" customWidth="1"/>
    <col min="18" max="18" width="30" bestFit="1" customWidth="1"/>
    <col min="19" max="19" width="11.26953125" bestFit="1" customWidth="1"/>
    <col min="20" max="20" width="24.81640625" bestFit="1" customWidth="1"/>
    <col min="21" max="21" width="7.81640625" bestFit="1" customWidth="1"/>
    <col min="22" max="22" width="27" bestFit="1" customWidth="1"/>
    <col min="23" max="23" width="7.81640625" bestFit="1" customWidth="1"/>
    <col min="24" max="24" width="24.81640625" bestFit="1" customWidth="1"/>
    <col min="25" max="25" width="7.81640625" bestFit="1" customWidth="1"/>
    <col min="26" max="26" width="24.81640625" bestFit="1" customWidth="1"/>
    <col min="27" max="27" width="7.81640625" bestFit="1" customWidth="1"/>
    <col min="28" max="28" width="24.81640625" bestFit="1" customWidth="1"/>
    <col min="29" max="29" width="7.81640625" bestFit="1" customWidth="1"/>
    <col min="30" max="30" width="24.81640625" bestFit="1" customWidth="1"/>
    <col min="31" max="31" width="7.81640625" bestFit="1" customWidth="1"/>
    <col min="32" max="32" width="11.26953125" bestFit="1" customWidth="1"/>
  </cols>
  <sheetData>
    <row r="3" spans="1:2" x14ac:dyDescent="0.35">
      <c r="A3" s="6" t="s">
        <v>32</v>
      </c>
      <c r="B3" t="s">
        <v>34</v>
      </c>
    </row>
    <row r="4" spans="1:2" x14ac:dyDescent="0.35">
      <c r="A4" s="7" t="s">
        <v>3</v>
      </c>
      <c r="B4">
        <v>6</v>
      </c>
    </row>
    <row r="5" spans="1:2" x14ac:dyDescent="0.35">
      <c r="A5" s="8">
        <v>1</v>
      </c>
      <c r="B5">
        <v>1</v>
      </c>
    </row>
    <row r="6" spans="1:2" x14ac:dyDescent="0.35">
      <c r="A6" s="8">
        <v>3</v>
      </c>
      <c r="B6">
        <v>1</v>
      </c>
    </row>
    <row r="7" spans="1:2" x14ac:dyDescent="0.35">
      <c r="A7" s="8">
        <v>5</v>
      </c>
      <c r="B7">
        <v>1</v>
      </c>
    </row>
    <row r="8" spans="1:2" x14ac:dyDescent="0.35">
      <c r="A8" s="8">
        <v>7</v>
      </c>
      <c r="B8">
        <v>1</v>
      </c>
    </row>
    <row r="9" spans="1:2" x14ac:dyDescent="0.35">
      <c r="A9" s="8">
        <v>9</v>
      </c>
      <c r="B9">
        <v>1</v>
      </c>
    </row>
    <row r="10" spans="1:2" x14ac:dyDescent="0.35">
      <c r="A10" s="8">
        <v>11</v>
      </c>
      <c r="B10">
        <v>1</v>
      </c>
    </row>
    <row r="11" spans="1:2" x14ac:dyDescent="0.35">
      <c r="A11" s="7" t="s">
        <v>4</v>
      </c>
      <c r="B11">
        <v>9</v>
      </c>
    </row>
    <row r="12" spans="1:2" x14ac:dyDescent="0.35">
      <c r="A12" s="8">
        <v>2</v>
      </c>
      <c r="B12">
        <v>1</v>
      </c>
    </row>
    <row r="13" spans="1:2" x14ac:dyDescent="0.35">
      <c r="A13" s="8">
        <v>4</v>
      </c>
      <c r="B13">
        <v>1</v>
      </c>
    </row>
    <row r="14" spans="1:2" x14ac:dyDescent="0.35">
      <c r="A14" s="8">
        <v>6</v>
      </c>
      <c r="B14">
        <v>1</v>
      </c>
    </row>
    <row r="15" spans="1:2" x14ac:dyDescent="0.35">
      <c r="A15" s="8">
        <v>8</v>
      </c>
      <c r="B15">
        <v>1</v>
      </c>
    </row>
    <row r="16" spans="1:2" x14ac:dyDescent="0.35">
      <c r="A16" s="8">
        <v>10</v>
      </c>
      <c r="B16">
        <v>1</v>
      </c>
    </row>
    <row r="17" spans="1:2" x14ac:dyDescent="0.35">
      <c r="A17" s="8">
        <v>12</v>
      </c>
      <c r="B17">
        <v>1</v>
      </c>
    </row>
    <row r="18" spans="1:2" x14ac:dyDescent="0.35">
      <c r="A18" s="8">
        <v>13</v>
      </c>
      <c r="B18">
        <v>1</v>
      </c>
    </row>
    <row r="19" spans="1:2" x14ac:dyDescent="0.35">
      <c r="A19" s="8">
        <v>14</v>
      </c>
      <c r="B19">
        <v>1</v>
      </c>
    </row>
    <row r="20" spans="1:2" x14ac:dyDescent="0.35">
      <c r="A20" s="8">
        <v>15</v>
      </c>
      <c r="B20">
        <v>1</v>
      </c>
    </row>
    <row r="21" spans="1:2" x14ac:dyDescent="0.35">
      <c r="A21" s="7" t="s">
        <v>31</v>
      </c>
      <c r="B2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opLeftCell="A12" workbookViewId="0">
      <selection activeCell="E16" sqref="E16"/>
    </sheetView>
  </sheetViews>
  <sheetFormatPr baseColWidth="10" defaultColWidth="9.1796875" defaultRowHeight="14.5" x14ac:dyDescent="0.35"/>
  <cols>
    <col min="1" max="1" width="11.54296875" style="1" customWidth="1"/>
    <col min="2" max="2" width="16" style="1" customWidth="1"/>
    <col min="3" max="3" width="39.453125" style="1" bestFit="1" customWidth="1"/>
    <col min="4" max="4" width="32" style="1" customWidth="1"/>
    <col min="5" max="5" width="33.81640625" style="5" customWidth="1"/>
    <col min="6" max="6" width="20.1796875" style="1" customWidth="1"/>
    <col min="7" max="7" width="20.54296875" style="1" customWidth="1"/>
    <col min="8" max="8" width="27" style="1" bestFit="1" customWidth="1"/>
    <col min="9" max="16384" width="9.1796875" style="1"/>
  </cols>
  <sheetData>
    <row r="1" spans="1:8" x14ac:dyDescent="0.35">
      <c r="A1" s="1" t="s">
        <v>7</v>
      </c>
      <c r="B1" s="2" t="s">
        <v>8</v>
      </c>
      <c r="C1" s="1" t="s">
        <v>0</v>
      </c>
      <c r="D1" s="2" t="s">
        <v>9</v>
      </c>
      <c r="E1" s="3" t="s">
        <v>25</v>
      </c>
      <c r="F1" s="2" t="s">
        <v>23</v>
      </c>
      <c r="G1" s="2" t="s">
        <v>24</v>
      </c>
      <c r="H1" s="1" t="s">
        <v>1</v>
      </c>
    </row>
    <row r="2" spans="1:8" ht="43.5" x14ac:dyDescent="0.35">
      <c r="A2" s="1">
        <v>1</v>
      </c>
      <c r="B2" s="9">
        <v>46034</v>
      </c>
      <c r="C2" s="1" t="s">
        <v>2</v>
      </c>
      <c r="D2" s="3" t="s">
        <v>11</v>
      </c>
      <c r="E2" s="3" t="s">
        <v>26</v>
      </c>
      <c r="F2" s="4">
        <v>150</v>
      </c>
      <c r="G2" s="4"/>
      <c r="H2" s="1" t="s">
        <v>3</v>
      </c>
    </row>
    <row r="3" spans="1:8" ht="58" x14ac:dyDescent="0.35">
      <c r="A3" s="1">
        <v>2</v>
      </c>
      <c r="B3" s="9">
        <v>46042</v>
      </c>
      <c r="C3" s="1" t="s">
        <v>2</v>
      </c>
      <c r="D3" s="3" t="s">
        <v>10</v>
      </c>
      <c r="E3" s="3" t="s">
        <v>29</v>
      </c>
      <c r="F3" s="4"/>
      <c r="G3" s="4"/>
      <c r="H3" s="1" t="s">
        <v>4</v>
      </c>
    </row>
    <row r="4" spans="1:8" ht="29" x14ac:dyDescent="0.35">
      <c r="A4" s="1">
        <v>3</v>
      </c>
      <c r="B4" s="9">
        <v>46051</v>
      </c>
      <c r="C4" s="1" t="s">
        <v>2</v>
      </c>
      <c r="D4" s="3" t="s">
        <v>12</v>
      </c>
      <c r="E4" s="3" t="s">
        <v>26</v>
      </c>
      <c r="F4" s="4">
        <v>50</v>
      </c>
      <c r="G4" s="4"/>
      <c r="H4" s="1" t="s">
        <v>3</v>
      </c>
    </row>
    <row r="5" spans="1:8" ht="130.5" x14ac:dyDescent="0.35">
      <c r="A5" s="1">
        <v>4</v>
      </c>
      <c r="B5" s="9">
        <v>46056</v>
      </c>
      <c r="C5" s="1" t="s">
        <v>5</v>
      </c>
      <c r="D5" s="3" t="s">
        <v>13</v>
      </c>
      <c r="E5" s="3" t="s">
        <v>30</v>
      </c>
      <c r="F5" s="4"/>
      <c r="G5" s="4"/>
      <c r="H5" s="1" t="s">
        <v>4</v>
      </c>
    </row>
    <row r="6" spans="1:8" ht="29" x14ac:dyDescent="0.35">
      <c r="A6" s="1">
        <v>5</v>
      </c>
      <c r="B6" s="9">
        <v>46064</v>
      </c>
      <c r="C6" s="1" t="s">
        <v>5</v>
      </c>
      <c r="D6" s="3" t="s">
        <v>14</v>
      </c>
      <c r="E6" s="3" t="s">
        <v>26</v>
      </c>
      <c r="F6" s="4">
        <v>100</v>
      </c>
      <c r="G6" s="4"/>
      <c r="H6" s="1" t="s">
        <v>3</v>
      </c>
    </row>
    <row r="7" spans="1:8" ht="87" x14ac:dyDescent="0.35">
      <c r="A7" s="1">
        <v>6</v>
      </c>
      <c r="B7" s="9">
        <v>46070</v>
      </c>
      <c r="C7" s="1" t="s">
        <v>5</v>
      </c>
      <c r="D7" s="3" t="s">
        <v>15</v>
      </c>
      <c r="E7" s="3" t="s">
        <v>30</v>
      </c>
      <c r="F7" s="4"/>
      <c r="G7" s="4"/>
      <c r="H7" s="1" t="s">
        <v>4</v>
      </c>
    </row>
    <row r="8" spans="1:8" ht="43.5" x14ac:dyDescent="0.35">
      <c r="A8" s="1">
        <v>7</v>
      </c>
      <c r="B8" s="9">
        <v>46079</v>
      </c>
      <c r="C8" s="1" t="s">
        <v>5</v>
      </c>
      <c r="D8" s="3" t="s">
        <v>33</v>
      </c>
      <c r="E8" s="3" t="s">
        <v>26</v>
      </c>
      <c r="F8" s="4">
        <v>100</v>
      </c>
      <c r="G8" s="4"/>
      <c r="H8" s="1" t="s">
        <v>3</v>
      </c>
    </row>
    <row r="9" spans="1:8" ht="72.5" x14ac:dyDescent="0.35">
      <c r="A9" s="1">
        <v>8</v>
      </c>
      <c r="B9" s="9">
        <v>46084</v>
      </c>
      <c r="C9" s="1" t="s">
        <v>6</v>
      </c>
      <c r="D9" s="3" t="s">
        <v>16</v>
      </c>
      <c r="E9" s="3" t="s">
        <v>30</v>
      </c>
      <c r="F9" s="4"/>
      <c r="G9" s="4">
        <v>6000</v>
      </c>
      <c r="H9" s="1" t="s">
        <v>4</v>
      </c>
    </row>
    <row r="10" spans="1:8" ht="29" x14ac:dyDescent="0.35">
      <c r="A10" s="1">
        <v>9</v>
      </c>
      <c r="B10" s="9">
        <v>46091</v>
      </c>
      <c r="C10" s="1" t="s">
        <v>6</v>
      </c>
      <c r="D10" s="3" t="s">
        <v>17</v>
      </c>
      <c r="E10" s="3" t="s">
        <v>26</v>
      </c>
      <c r="F10" s="4">
        <v>75</v>
      </c>
      <c r="G10" s="4"/>
      <c r="H10" s="1" t="s">
        <v>3</v>
      </c>
    </row>
    <row r="11" spans="1:8" ht="72.5" x14ac:dyDescent="0.35">
      <c r="A11" s="1">
        <v>10</v>
      </c>
      <c r="B11" s="9">
        <v>46100</v>
      </c>
      <c r="C11" s="1" t="s">
        <v>6</v>
      </c>
      <c r="D11" s="3" t="s">
        <v>18</v>
      </c>
      <c r="E11" s="3" t="s">
        <v>35</v>
      </c>
      <c r="F11" s="4"/>
      <c r="G11" s="4"/>
      <c r="H11" s="1" t="s">
        <v>4</v>
      </c>
    </row>
    <row r="12" spans="1:8" ht="43.5" x14ac:dyDescent="0.35">
      <c r="A12" s="1">
        <v>11</v>
      </c>
      <c r="B12" s="9">
        <v>46101</v>
      </c>
      <c r="C12" s="1" t="s">
        <v>6</v>
      </c>
      <c r="D12" s="3" t="s">
        <v>19</v>
      </c>
      <c r="E12" s="3" t="s">
        <v>27</v>
      </c>
      <c r="F12" s="4"/>
      <c r="G12" s="4"/>
      <c r="H12" s="1" t="s">
        <v>3</v>
      </c>
    </row>
    <row r="13" spans="1:8" ht="101.5" x14ac:dyDescent="0.35">
      <c r="A13" s="1">
        <v>12</v>
      </c>
      <c r="B13" s="9">
        <v>46104</v>
      </c>
      <c r="C13" s="1" t="s">
        <v>6</v>
      </c>
      <c r="D13" s="3" t="s">
        <v>20</v>
      </c>
      <c r="E13" s="3" t="s">
        <v>36</v>
      </c>
      <c r="F13" s="4"/>
      <c r="G13" s="4"/>
      <c r="H13" s="1" t="s">
        <v>4</v>
      </c>
    </row>
    <row r="14" spans="1:8" ht="101.5" x14ac:dyDescent="0.35">
      <c r="A14" s="1">
        <v>13</v>
      </c>
      <c r="B14" s="9">
        <v>46106</v>
      </c>
      <c r="C14" s="1" t="s">
        <v>6</v>
      </c>
      <c r="D14" s="3" t="s">
        <v>28</v>
      </c>
      <c r="E14" s="3" t="s">
        <v>37</v>
      </c>
      <c r="F14" s="4"/>
      <c r="G14" s="4"/>
      <c r="H14" s="1" t="s">
        <v>4</v>
      </c>
    </row>
    <row r="15" spans="1:8" ht="101.5" x14ac:dyDescent="0.35">
      <c r="A15" s="1">
        <v>14</v>
      </c>
      <c r="B15" s="9">
        <v>46108</v>
      </c>
      <c r="C15" s="1" t="s">
        <v>6</v>
      </c>
      <c r="D15" s="3" t="s">
        <v>21</v>
      </c>
      <c r="E15" s="3" t="s">
        <v>38</v>
      </c>
      <c r="F15" s="4"/>
      <c r="G15" s="4"/>
      <c r="H15" s="1" t="s">
        <v>4</v>
      </c>
    </row>
    <row r="16" spans="1:8" ht="72.5" x14ac:dyDescent="0.35">
      <c r="A16" s="1">
        <v>15</v>
      </c>
      <c r="B16" s="9">
        <v>46112</v>
      </c>
      <c r="C16" s="1" t="s">
        <v>6</v>
      </c>
      <c r="D16" s="3" t="s">
        <v>22</v>
      </c>
      <c r="E16" s="3" t="s">
        <v>35</v>
      </c>
      <c r="F16" s="4"/>
      <c r="G16" s="4"/>
      <c r="H16" s="1" t="s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Production Log PivotTable</vt:lpstr>
      <vt:lpstr>Production 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Trainer</dc:creator>
  <cp:lastModifiedBy>Nano Vigliocco</cp:lastModifiedBy>
  <dcterms:created xsi:type="dcterms:W3CDTF">2015-06-05T18:17:20Z</dcterms:created>
  <dcterms:modified xsi:type="dcterms:W3CDTF">2026-05-27T14:46:50Z</dcterms:modified>
</cp:coreProperties>
</file>