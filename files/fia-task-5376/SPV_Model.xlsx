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so\OneDrive\Desktop\"/>
    </mc:Choice>
  </mc:AlternateContent>
  <xr:revisionPtr revIDLastSave="0" documentId="8_{5EF49D67-D29A-4F5E-A5F3-F178D0C265DB}" xr6:coauthVersionLast="47" xr6:coauthVersionMax="47" xr10:uidLastSave="{00000000-0000-0000-0000-000000000000}"/>
  <bookViews>
    <workbookView xWindow="-90" yWindow="-90" windowWidth="17460" windowHeight="10260" tabRatio="500" activeTab="4" xr2:uid="{00000000-000D-0000-FFFF-FFFF00000000}"/>
  </bookViews>
  <sheets>
    <sheet name="Assumptions" sheetId="1" r:id="rId1"/>
    <sheet name="Sources_Uses" sheetId="2" r:id="rId2"/>
    <sheet name="Rollforward" sheetId="3" r:id="rId3"/>
    <sheet name="Waterfall" sheetId="4" r:id="rId4"/>
    <sheet name="Returns" sheetId="5" r:id="rId5"/>
    <sheet name="Originator" sheetId="6" r:id="rId6"/>
    <sheet name="Tests" sheetId="7" r:id="rId7"/>
    <sheet name="Monthly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89" i="7" l="1"/>
  <c r="F89" i="7"/>
  <c r="H89" i="7" s="1"/>
  <c r="M88" i="7"/>
  <c r="M65" i="7"/>
  <c r="N65" i="7" s="1"/>
  <c r="E65" i="7"/>
  <c r="M55" i="7"/>
  <c r="F55" i="7"/>
  <c r="H55" i="7" s="1"/>
  <c r="M54" i="7"/>
  <c r="E31" i="7"/>
  <c r="H21" i="7"/>
  <c r="F21" i="7"/>
  <c r="M19" i="7"/>
  <c r="M18" i="7"/>
  <c r="E8" i="7"/>
  <c r="D8" i="7"/>
  <c r="C8" i="7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D63" i="6"/>
  <c r="C63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B18" i="6"/>
  <c r="B17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B70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X53" i="4"/>
  <c r="X70" i="4" s="1"/>
  <c r="W53" i="4"/>
  <c r="W70" i="4" s="1"/>
  <c r="V53" i="4"/>
  <c r="V70" i="4" s="1"/>
  <c r="U53" i="4"/>
  <c r="U70" i="4" s="1"/>
  <c r="T53" i="4"/>
  <c r="T70" i="4" s="1"/>
  <c r="S53" i="4"/>
  <c r="S70" i="4" s="1"/>
  <c r="R53" i="4"/>
  <c r="R70" i="4" s="1"/>
  <c r="Q53" i="4"/>
  <c r="Q70" i="4" s="1"/>
  <c r="P53" i="4"/>
  <c r="P70" i="4" s="1"/>
  <c r="O53" i="4"/>
  <c r="O70" i="4" s="1"/>
  <c r="N53" i="4"/>
  <c r="N70" i="4" s="1"/>
  <c r="M53" i="4"/>
  <c r="M70" i="4" s="1"/>
  <c r="L53" i="4"/>
  <c r="L70" i="4" s="1"/>
  <c r="K53" i="4"/>
  <c r="K70" i="4" s="1"/>
  <c r="J53" i="4"/>
  <c r="J70" i="4" s="1"/>
  <c r="I53" i="4"/>
  <c r="I70" i="4" s="1"/>
  <c r="H53" i="4"/>
  <c r="H70" i="4" s="1"/>
  <c r="G53" i="4"/>
  <c r="G70" i="4" s="1"/>
  <c r="F53" i="4"/>
  <c r="F70" i="4" s="1"/>
  <c r="E53" i="4"/>
  <c r="E70" i="4" s="1"/>
  <c r="D53" i="4"/>
  <c r="D70" i="4" s="1"/>
  <c r="C53" i="4"/>
  <c r="C70" i="4" s="1"/>
  <c r="B53" i="4"/>
  <c r="B45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Z28" i="4"/>
  <c r="Z45" i="4" s="1"/>
  <c r="Y28" i="4"/>
  <c r="Y45" i="4" s="1"/>
  <c r="X28" i="4"/>
  <c r="X45" i="4" s="1"/>
  <c r="W28" i="4"/>
  <c r="W45" i="4" s="1"/>
  <c r="V28" i="4"/>
  <c r="V45" i="4" s="1"/>
  <c r="U28" i="4"/>
  <c r="U45" i="4" s="1"/>
  <c r="T28" i="4"/>
  <c r="T45" i="4" s="1"/>
  <c r="S28" i="4"/>
  <c r="S45" i="4" s="1"/>
  <c r="R28" i="4"/>
  <c r="R45" i="4" s="1"/>
  <c r="Q28" i="4"/>
  <c r="Q45" i="4" s="1"/>
  <c r="P28" i="4"/>
  <c r="P45" i="4" s="1"/>
  <c r="O28" i="4"/>
  <c r="O45" i="4" s="1"/>
  <c r="N28" i="4"/>
  <c r="N45" i="4" s="1"/>
  <c r="M28" i="4"/>
  <c r="M45" i="4" s="1"/>
  <c r="L28" i="4"/>
  <c r="L45" i="4" s="1"/>
  <c r="K28" i="4"/>
  <c r="K45" i="4" s="1"/>
  <c r="J28" i="4"/>
  <c r="J45" i="4" s="1"/>
  <c r="I28" i="4"/>
  <c r="I45" i="4" s="1"/>
  <c r="H28" i="4"/>
  <c r="H45" i="4" s="1"/>
  <c r="G28" i="4"/>
  <c r="G45" i="4" s="1"/>
  <c r="F28" i="4"/>
  <c r="F45" i="4" s="1"/>
  <c r="E28" i="4"/>
  <c r="E45" i="4" s="1"/>
  <c r="D28" i="4"/>
  <c r="D45" i="4" s="1"/>
  <c r="C28" i="4"/>
  <c r="C45" i="4" s="1"/>
  <c r="B28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W70" i="3"/>
  <c r="W60" i="4" s="1"/>
  <c r="V70" i="3"/>
  <c r="V60" i="4" s="1"/>
  <c r="U70" i="3"/>
  <c r="U60" i="4" s="1"/>
  <c r="T70" i="3"/>
  <c r="T60" i="4" s="1"/>
  <c r="S70" i="3"/>
  <c r="S60" i="4" s="1"/>
  <c r="R70" i="3"/>
  <c r="R60" i="4" s="1"/>
  <c r="Q70" i="3"/>
  <c r="Q60" i="4" s="1"/>
  <c r="P70" i="3"/>
  <c r="P60" i="4" s="1"/>
  <c r="O70" i="3"/>
  <c r="O60" i="4" s="1"/>
  <c r="N70" i="3"/>
  <c r="N60" i="4" s="1"/>
  <c r="M70" i="3"/>
  <c r="M60" i="4" s="1"/>
  <c r="L70" i="3"/>
  <c r="L60" i="4" s="1"/>
  <c r="K70" i="3"/>
  <c r="K60" i="4" s="1"/>
  <c r="J70" i="3"/>
  <c r="J60" i="4" s="1"/>
  <c r="I70" i="3"/>
  <c r="I60" i="4" s="1"/>
  <c r="H70" i="3"/>
  <c r="H60" i="4" s="1"/>
  <c r="G70" i="3"/>
  <c r="G60" i="4" s="1"/>
  <c r="F70" i="3"/>
  <c r="F60" i="4" s="1"/>
  <c r="E70" i="3"/>
  <c r="E60" i="4" s="1"/>
  <c r="D70" i="3"/>
  <c r="D60" i="4" s="1"/>
  <c r="C70" i="3"/>
  <c r="C60" i="4" s="1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X66" i="3"/>
  <c r="X59" i="4" s="1"/>
  <c r="W66" i="3"/>
  <c r="W59" i="4" s="1"/>
  <c r="V66" i="3"/>
  <c r="V59" i="4" s="1"/>
  <c r="U66" i="3"/>
  <c r="U59" i="4" s="1"/>
  <c r="T66" i="3"/>
  <c r="T59" i="4" s="1"/>
  <c r="S66" i="3"/>
  <c r="S59" i="4" s="1"/>
  <c r="R66" i="3"/>
  <c r="R59" i="4" s="1"/>
  <c r="Q66" i="3"/>
  <c r="Q59" i="4" s="1"/>
  <c r="P66" i="3"/>
  <c r="P59" i="4" s="1"/>
  <c r="O66" i="3"/>
  <c r="O59" i="4" s="1"/>
  <c r="N66" i="3"/>
  <c r="N59" i="4" s="1"/>
  <c r="M66" i="3"/>
  <c r="M59" i="4" s="1"/>
  <c r="L66" i="3"/>
  <c r="L59" i="4" s="1"/>
  <c r="K66" i="3"/>
  <c r="K59" i="4" s="1"/>
  <c r="J66" i="3"/>
  <c r="J59" i="4" s="1"/>
  <c r="H66" i="3"/>
  <c r="H59" i="4" s="1"/>
  <c r="G66" i="3"/>
  <c r="G59" i="4" s="1"/>
  <c r="F66" i="3"/>
  <c r="F59" i="4" s="1"/>
  <c r="E66" i="3"/>
  <c r="E59" i="4" s="1"/>
  <c r="D66" i="3"/>
  <c r="D59" i="4" s="1"/>
  <c r="C66" i="3"/>
  <c r="C59" i="4" s="1"/>
  <c r="G64" i="3" a="1"/>
  <c r="G64" i="3" s="1"/>
  <c r="F64" i="3" a="1"/>
  <c r="F64" i="3" s="1"/>
  <c r="E64" i="3" a="1"/>
  <c r="E64" i="3" s="1"/>
  <c r="D64" i="3" a="1"/>
  <c r="D64" i="3" s="1"/>
  <c r="C64" i="3" a="1"/>
  <c r="C64" i="3" s="1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C54" i="3"/>
  <c r="Y46" i="3"/>
  <c r="Y35" i="4" s="1"/>
  <c r="X46" i="3"/>
  <c r="X35" i="4" s="1"/>
  <c r="W46" i="3"/>
  <c r="W35" i="4" s="1"/>
  <c r="V46" i="3"/>
  <c r="V35" i="4" s="1"/>
  <c r="U46" i="3"/>
  <c r="U35" i="4" s="1"/>
  <c r="T46" i="3"/>
  <c r="T35" i="4" s="1"/>
  <c r="S46" i="3"/>
  <c r="S35" i="4" s="1"/>
  <c r="R46" i="3"/>
  <c r="R35" i="4" s="1"/>
  <c r="Q46" i="3"/>
  <c r="Q35" i="4" s="1"/>
  <c r="P46" i="3"/>
  <c r="P35" i="4" s="1"/>
  <c r="O46" i="3"/>
  <c r="O35" i="4" s="1"/>
  <c r="N46" i="3"/>
  <c r="N35" i="4" s="1"/>
  <c r="M46" i="3"/>
  <c r="M35" i="4" s="1"/>
  <c r="L46" i="3"/>
  <c r="L35" i="4" s="1"/>
  <c r="K46" i="3"/>
  <c r="K35" i="4" s="1"/>
  <c r="J46" i="3"/>
  <c r="J35" i="4" s="1"/>
  <c r="I46" i="3"/>
  <c r="I35" i="4" s="1"/>
  <c r="H46" i="3"/>
  <c r="H35" i="4" s="1"/>
  <c r="G46" i="3"/>
  <c r="G35" i="4" s="1"/>
  <c r="F46" i="3"/>
  <c r="F35" i="4" s="1"/>
  <c r="E46" i="3"/>
  <c r="E35" i="4" s="1"/>
  <c r="D46" i="3"/>
  <c r="D35" i="4" s="1"/>
  <c r="C46" i="3"/>
  <c r="C35" i="4" s="1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Z42" i="3"/>
  <c r="Z34" i="4" s="1"/>
  <c r="Y42" i="3"/>
  <c r="Y34" i="4" s="1"/>
  <c r="X42" i="3"/>
  <c r="X34" i="4" s="1"/>
  <c r="W42" i="3"/>
  <c r="W34" i="4" s="1"/>
  <c r="V42" i="3"/>
  <c r="V34" i="4" s="1"/>
  <c r="U42" i="3"/>
  <c r="U34" i="4" s="1"/>
  <c r="T42" i="3"/>
  <c r="T34" i="4" s="1"/>
  <c r="S42" i="3"/>
  <c r="S34" i="4" s="1"/>
  <c r="R42" i="3"/>
  <c r="R34" i="4" s="1"/>
  <c r="Q42" i="3"/>
  <c r="Q34" i="4" s="1"/>
  <c r="P42" i="3"/>
  <c r="P34" i="4" s="1"/>
  <c r="O42" i="3"/>
  <c r="O34" i="4" s="1"/>
  <c r="N42" i="3"/>
  <c r="N34" i="4" s="1"/>
  <c r="M42" i="3"/>
  <c r="M34" i="4" s="1"/>
  <c r="L42" i="3"/>
  <c r="L34" i="4" s="1"/>
  <c r="K42" i="3"/>
  <c r="K34" i="4" s="1"/>
  <c r="J42" i="3"/>
  <c r="J34" i="4" s="1"/>
  <c r="H42" i="3"/>
  <c r="H34" i="4" s="1"/>
  <c r="G42" i="3"/>
  <c r="G34" i="4" s="1"/>
  <c r="F42" i="3"/>
  <c r="F34" i="4" s="1"/>
  <c r="E42" i="3"/>
  <c r="E34" i="4" s="1"/>
  <c r="D42" i="3"/>
  <c r="D34" i="4" s="1"/>
  <c r="C42" i="3"/>
  <c r="C34" i="4" s="1"/>
  <c r="Z40" i="3"/>
  <c r="Y40" i="3"/>
  <c r="X40" i="3"/>
  <c r="W40" i="3"/>
  <c r="V40" i="3" a="1"/>
  <c r="V40" i="3" s="1"/>
  <c r="U40" i="3" a="1"/>
  <c r="U40" i="3" s="1"/>
  <c r="T40" i="3" a="1"/>
  <c r="T40" i="3" s="1"/>
  <c r="S40" i="3" a="1"/>
  <c r="S40" i="3" s="1"/>
  <c r="R40" i="3" a="1"/>
  <c r="R40" i="3" s="1"/>
  <c r="Q40" i="3" a="1"/>
  <c r="Q40" i="3" s="1"/>
  <c r="P40" i="3" a="1"/>
  <c r="P40" i="3" s="1"/>
  <c r="O40" i="3" a="1"/>
  <c r="O40" i="3" s="1"/>
  <c r="N40" i="3" a="1"/>
  <c r="N40" i="3" s="1"/>
  <c r="M40" i="3" a="1"/>
  <c r="M40" i="3" s="1"/>
  <c r="L40" i="3" a="1"/>
  <c r="L40" i="3"/>
  <c r="K40" i="3" a="1"/>
  <c r="K40" i="3" s="1"/>
  <c r="J40" i="3" a="1"/>
  <c r="J40" i="3" s="1"/>
  <c r="I40" i="3" a="1"/>
  <c r="I40" i="3" s="1"/>
  <c r="H40" i="3" a="1"/>
  <c r="H40" i="3" s="1"/>
  <c r="G40" i="3" a="1"/>
  <c r="G40" i="3" s="1"/>
  <c r="F40" i="3" a="1"/>
  <c r="F40" i="3" s="1"/>
  <c r="E40" i="3" a="1"/>
  <c r="E40" i="3" s="1"/>
  <c r="D40" i="3" a="1"/>
  <c r="D40" i="3" s="1"/>
  <c r="C40" i="3" a="1"/>
  <c r="C40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C30" i="3"/>
  <c r="W23" i="3"/>
  <c r="W10" i="4" s="1"/>
  <c r="V23" i="3"/>
  <c r="V10" i="4" s="1"/>
  <c r="U23" i="3"/>
  <c r="U10" i="4" s="1"/>
  <c r="T23" i="3"/>
  <c r="T10" i="4" s="1"/>
  <c r="S23" i="3"/>
  <c r="S10" i="4" s="1"/>
  <c r="R23" i="3"/>
  <c r="R10" i="4" s="1"/>
  <c r="Q23" i="3"/>
  <c r="Q10" i="4" s="1"/>
  <c r="P23" i="3"/>
  <c r="P10" i="4" s="1"/>
  <c r="O23" i="3"/>
  <c r="O10" i="4" s="1"/>
  <c r="N23" i="3"/>
  <c r="N10" i="4" s="1"/>
  <c r="M23" i="3"/>
  <c r="M10" i="4" s="1"/>
  <c r="L23" i="3"/>
  <c r="L10" i="4" s="1"/>
  <c r="K23" i="3"/>
  <c r="K10" i="4" s="1"/>
  <c r="J23" i="3"/>
  <c r="J10" i="4" s="1"/>
  <c r="I23" i="3"/>
  <c r="I10" i="4" s="1"/>
  <c r="H23" i="3"/>
  <c r="H10" i="4" s="1"/>
  <c r="G23" i="3"/>
  <c r="G10" i="4" s="1"/>
  <c r="F23" i="3"/>
  <c r="F10" i="4" s="1"/>
  <c r="E23" i="3"/>
  <c r="E10" i="4" s="1"/>
  <c r="D23" i="3"/>
  <c r="D10" i="4" s="1"/>
  <c r="C23" i="3"/>
  <c r="C10" i="4" s="1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X19" i="3"/>
  <c r="X9" i="4" s="1"/>
  <c r="W19" i="3"/>
  <c r="W9" i="4" s="1"/>
  <c r="V19" i="3"/>
  <c r="V9" i="4" s="1"/>
  <c r="U19" i="3"/>
  <c r="U9" i="4" s="1"/>
  <c r="T19" i="3"/>
  <c r="T9" i="4" s="1"/>
  <c r="S19" i="3"/>
  <c r="S9" i="4" s="1"/>
  <c r="R19" i="3"/>
  <c r="R9" i="4" s="1"/>
  <c r="Q19" i="3"/>
  <c r="Q9" i="4" s="1"/>
  <c r="P19" i="3"/>
  <c r="P9" i="4" s="1"/>
  <c r="O19" i="3"/>
  <c r="O9" i="4" s="1"/>
  <c r="N19" i="3"/>
  <c r="N9" i="4" s="1"/>
  <c r="M19" i="3"/>
  <c r="M9" i="4" s="1"/>
  <c r="L19" i="3"/>
  <c r="L9" i="4" s="1"/>
  <c r="K19" i="3"/>
  <c r="K9" i="4" s="1"/>
  <c r="J19" i="3"/>
  <c r="J9" i="4" s="1"/>
  <c r="H19" i="3"/>
  <c r="H9" i="4" s="1"/>
  <c r="G19" i="3"/>
  <c r="G9" i="4" s="1"/>
  <c r="F19" i="3"/>
  <c r="F9" i="4" s="1"/>
  <c r="E19" i="3"/>
  <c r="E9" i="4" s="1"/>
  <c r="D19" i="3"/>
  <c r="D9" i="4" s="1"/>
  <c r="C19" i="3"/>
  <c r="C9" i="4" s="1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X12" i="3"/>
  <c r="W12" i="3"/>
  <c r="V12" i="3"/>
  <c r="U12" i="3"/>
  <c r="T12" i="3"/>
  <c r="S12" i="3"/>
  <c r="R12" i="3"/>
  <c r="Q12" i="3"/>
  <c r="P12" i="3"/>
  <c r="O12" i="3"/>
  <c r="N12" i="3"/>
  <c r="N17" i="3" s="1" a="1"/>
  <c r="N17" i="3" s="1"/>
  <c r="M12" i="3"/>
  <c r="M17" i="3" s="1" a="1"/>
  <c r="M17" i="3" s="1"/>
  <c r="L12" i="3"/>
  <c r="L17" i="3" s="1" a="1"/>
  <c r="L17" i="3" s="1"/>
  <c r="K12" i="3"/>
  <c r="K17" i="3" s="1" a="1"/>
  <c r="K17" i="3" s="1"/>
  <c r="J12" i="3"/>
  <c r="J17" i="3" s="1" a="1"/>
  <c r="J17" i="3" s="1"/>
  <c r="I12" i="3"/>
  <c r="I17" i="3" s="1" a="1"/>
  <c r="I17" i="3" s="1"/>
  <c r="H12" i="3"/>
  <c r="H17" i="3" s="1" a="1"/>
  <c r="H17" i="3" s="1"/>
  <c r="G12" i="3"/>
  <c r="G17" i="3" s="1" a="1"/>
  <c r="G17" i="3" s="1"/>
  <c r="F12" i="3"/>
  <c r="F17" i="3" s="1" a="1"/>
  <c r="F17" i="3" s="1"/>
  <c r="E12" i="3"/>
  <c r="E17" i="3" s="1" a="1"/>
  <c r="E17" i="3" s="1"/>
  <c r="D12" i="3"/>
  <c r="D17" i="3" s="1" a="1"/>
  <c r="D17" i="3" s="1"/>
  <c r="C12" i="3"/>
  <c r="C17" i="3" s="1" a="1"/>
  <c r="C17" i="3" s="1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7" i="3"/>
  <c r="B12" i="2"/>
  <c r="B14" i="5" s="1"/>
  <c r="B11" i="2"/>
  <c r="B7" i="2"/>
  <c r="B6" i="2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19" i="1"/>
  <c r="B15" i="1"/>
  <c r="B10" i="1"/>
  <c r="B5" i="2" s="1"/>
  <c r="B4" i="1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H65" i="5"/>
  <c r="G65" i="5"/>
  <c r="F65" i="5"/>
  <c r="E65" i="5"/>
  <c r="D65" i="5"/>
  <c r="C65" i="5"/>
  <c r="B6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Z39" i="5"/>
  <c r="Y39" i="5"/>
  <c r="X39" i="5"/>
  <c r="W39" i="5"/>
  <c r="V39" i="5"/>
  <c r="U39" i="5"/>
  <c r="T39" i="5"/>
  <c r="S39" i="5"/>
  <c r="R39" i="5"/>
  <c r="Q39" i="5"/>
  <c r="P39" i="5"/>
  <c r="N39" i="5"/>
  <c r="M39" i="5"/>
  <c r="L39" i="5"/>
  <c r="K39" i="5"/>
  <c r="J39" i="5"/>
  <c r="H39" i="5"/>
  <c r="G39" i="5"/>
  <c r="F39" i="5"/>
  <c r="E39" i="5"/>
  <c r="D39" i="5"/>
  <c r="C39" i="5"/>
  <c r="B39" i="5"/>
  <c r="B31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Z28" i="5"/>
  <c r="Z31" i="5" s="1"/>
  <c r="Y28" i="5"/>
  <c r="Y31" i="5" s="1"/>
  <c r="X28" i="5"/>
  <c r="X31" i="5" s="1"/>
  <c r="W28" i="5"/>
  <c r="W31" i="5" s="1"/>
  <c r="V28" i="5"/>
  <c r="V31" i="5" s="1"/>
  <c r="U28" i="5"/>
  <c r="U31" i="5" s="1"/>
  <c r="T28" i="5"/>
  <c r="T31" i="5" s="1"/>
  <c r="S28" i="5"/>
  <c r="S31" i="5" s="1"/>
  <c r="R28" i="5"/>
  <c r="R31" i="5" s="1"/>
  <c r="Q28" i="5"/>
  <c r="Q31" i="5" s="1"/>
  <c r="P28" i="5"/>
  <c r="P31" i="5" s="1"/>
  <c r="O28" i="5"/>
  <c r="N28" i="5"/>
  <c r="N31" i="5" s="1"/>
  <c r="M28" i="5"/>
  <c r="M31" i="5" s="1"/>
  <c r="L28" i="5"/>
  <c r="L31" i="5" s="1"/>
  <c r="K28" i="5"/>
  <c r="K31" i="5" s="1"/>
  <c r="J28" i="5"/>
  <c r="J31" i="5" s="1"/>
  <c r="I28" i="5"/>
  <c r="H28" i="5"/>
  <c r="H31" i="5" s="1"/>
  <c r="G28" i="5"/>
  <c r="G31" i="5" s="1"/>
  <c r="F28" i="5"/>
  <c r="F31" i="5" s="1"/>
  <c r="E28" i="5"/>
  <c r="E31" i="5" s="1"/>
  <c r="D28" i="5"/>
  <c r="D31" i="5" s="1"/>
  <c r="C28" i="5"/>
  <c r="C31" i="5" s="1"/>
  <c r="B28" i="5"/>
  <c r="X14" i="5"/>
  <c r="W14" i="5"/>
  <c r="V14" i="5"/>
  <c r="U14" i="5"/>
  <c r="T14" i="5"/>
  <c r="S14" i="5"/>
  <c r="R14" i="5"/>
  <c r="Q14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C64" i="4" l="1"/>
  <c r="C65" i="6" s="1"/>
  <c r="C63" i="4"/>
  <c r="C58" i="3"/>
  <c r="C56" i="3"/>
  <c r="C56" i="4" s="1"/>
  <c r="C60" i="3"/>
  <c r="C32" i="3"/>
  <c r="C31" i="4" s="1"/>
  <c r="C34" i="3"/>
  <c r="C36" i="3"/>
  <c r="C38" i="4"/>
  <c r="C39" i="4"/>
  <c r="C41" i="6" s="1"/>
  <c r="C13" i="3"/>
  <c r="C14" i="4"/>
  <c r="C18" i="6" s="1"/>
  <c r="C9" i="3"/>
  <c r="C6" i="4" s="1"/>
  <c r="C11" i="3"/>
  <c r="C13" i="4"/>
  <c r="B19" i="6"/>
  <c r="B13" i="2"/>
  <c r="B57" i="5"/>
  <c r="B7" i="5"/>
  <c r="B30" i="4"/>
  <c r="B5" i="4"/>
  <c r="B55" i="4"/>
  <c r="I42" i="3"/>
  <c r="I34" i="4" s="1"/>
  <c r="I19" i="3"/>
  <c r="I9" i="4" s="1"/>
  <c r="B17" i="1"/>
  <c r="B16" i="1"/>
  <c r="B16" i="2"/>
  <c r="B8" i="2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H66" i="6"/>
  <c r="G66" i="6"/>
  <c r="F66" i="6"/>
  <c r="E66" i="6"/>
  <c r="D66" i="6"/>
  <c r="C66" i="6"/>
  <c r="B66" i="6"/>
  <c r="Z42" i="6"/>
  <c r="Y42" i="6"/>
  <c r="X42" i="6"/>
  <c r="W42" i="6"/>
  <c r="V42" i="6"/>
  <c r="U42" i="6"/>
  <c r="T42" i="6"/>
  <c r="S42" i="6"/>
  <c r="R42" i="6"/>
  <c r="Q42" i="6"/>
  <c r="P42" i="6"/>
  <c r="N42" i="6"/>
  <c r="M42" i="6"/>
  <c r="L42" i="6"/>
  <c r="K42" i="6"/>
  <c r="J42" i="6"/>
  <c r="H42" i="6"/>
  <c r="G42" i="6"/>
  <c r="F42" i="6"/>
  <c r="E42" i="6"/>
  <c r="D42" i="6"/>
  <c r="C42" i="6"/>
  <c r="B42" i="6"/>
  <c r="C76" i="7"/>
  <c r="C80" i="7" s="1"/>
  <c r="B33" i="5"/>
  <c r="O76" i="7"/>
  <c r="N76" i="7"/>
  <c r="M76" i="7"/>
  <c r="L76" i="7"/>
  <c r="K76" i="7"/>
  <c r="I76" i="7"/>
  <c r="H76" i="7"/>
  <c r="G76" i="7"/>
  <c r="F76" i="7"/>
  <c r="E76" i="7"/>
  <c r="D76" i="7"/>
  <c r="X19" i="6"/>
  <c r="W19" i="6"/>
  <c r="V19" i="6"/>
  <c r="U19" i="6"/>
  <c r="T19" i="6"/>
  <c r="S19" i="6"/>
  <c r="R19" i="6"/>
  <c r="Q19" i="6"/>
  <c r="X7" i="5"/>
  <c r="X57" i="5"/>
  <c r="W57" i="5"/>
  <c r="W7" i="5"/>
  <c r="V57" i="5"/>
  <c r="V7" i="5"/>
  <c r="U57" i="5"/>
  <c r="U7" i="5"/>
  <c r="T57" i="5"/>
  <c r="T7" i="5"/>
  <c r="S7" i="5"/>
  <c r="S57" i="5"/>
  <c r="R7" i="5"/>
  <c r="R57" i="5"/>
  <c r="Q7" i="5"/>
  <c r="Q57" i="5"/>
  <c r="P7" i="5"/>
  <c r="P57" i="5"/>
  <c r="P14" i="5"/>
  <c r="O7" i="5"/>
  <c r="O14" i="5"/>
  <c r="O57" i="5"/>
  <c r="N14" i="5"/>
  <c r="N57" i="5"/>
  <c r="N7" i="5"/>
  <c r="M57" i="5"/>
  <c r="M7" i="5"/>
  <c r="M14" i="5"/>
  <c r="L57" i="5"/>
  <c r="L14" i="5"/>
  <c r="L7" i="5"/>
  <c r="K57" i="5"/>
  <c r="K14" i="5"/>
  <c r="K7" i="5"/>
  <c r="J57" i="5"/>
  <c r="J14" i="5"/>
  <c r="J7" i="5"/>
  <c r="H57" i="5"/>
  <c r="H7" i="5"/>
  <c r="H14" i="5"/>
  <c r="G57" i="5"/>
  <c r="G14" i="5"/>
  <c r="G7" i="5"/>
  <c r="F14" i="5"/>
  <c r="F7" i="5"/>
  <c r="F57" i="5"/>
  <c r="E14" i="5"/>
  <c r="E57" i="5"/>
  <c r="E7" i="5"/>
  <c r="D14" i="5"/>
  <c r="D57" i="5"/>
  <c r="D7" i="5"/>
  <c r="C14" i="5"/>
  <c r="C57" i="5"/>
  <c r="C7" i="5"/>
  <c r="C64" i="6" l="1"/>
  <c r="C57" i="4"/>
  <c r="C62" i="3"/>
  <c r="C63" i="3"/>
  <c r="C32" i="4"/>
  <c r="C36" i="4" s="1"/>
  <c r="C38" i="3"/>
  <c r="C39" i="3"/>
  <c r="C40" i="6"/>
  <c r="C15" i="3"/>
  <c r="C8" i="4" s="1"/>
  <c r="C16" i="3"/>
  <c r="C18" i="3"/>
  <c r="C20" i="3" s="1"/>
  <c r="C7" i="4"/>
  <c r="C11" i="4" s="1"/>
  <c r="C17" i="6"/>
  <c r="C41" i="7"/>
  <c r="B44" i="4"/>
  <c r="B19" i="4"/>
  <c r="B69" i="4"/>
  <c r="B21" i="1"/>
  <c r="O39" i="5"/>
  <c r="B20" i="1"/>
  <c r="O31" i="5"/>
  <c r="B17" i="2"/>
  <c r="B39" i="6"/>
  <c r="B16" i="6"/>
  <c r="B63" i="6"/>
  <c r="B34" i="5"/>
  <c r="P19" i="6"/>
  <c r="O19" i="6"/>
  <c r="N19" i="6"/>
  <c r="O41" i="7"/>
  <c r="N41" i="7"/>
  <c r="M19" i="6"/>
  <c r="L19" i="6"/>
  <c r="M41" i="7"/>
  <c r="K19" i="6"/>
  <c r="L41" i="7"/>
  <c r="J19" i="6"/>
  <c r="K41" i="7"/>
  <c r="I41" i="7"/>
  <c r="H19" i="6"/>
  <c r="G19" i="6"/>
  <c r="H41" i="7"/>
  <c r="F19" i="6"/>
  <c r="G41" i="7"/>
  <c r="E19" i="6"/>
  <c r="F41" i="7"/>
  <c r="D19" i="6"/>
  <c r="E41" i="7"/>
  <c r="C19" i="6"/>
  <c r="D41" i="7"/>
  <c r="B15" i="2"/>
  <c r="C21" i="3" l="1"/>
  <c r="C16" i="4"/>
  <c r="C17" i="4" s="1"/>
  <c r="B46" i="4"/>
  <c r="B47" i="4"/>
  <c r="C30" i="4" s="1"/>
  <c r="B21" i="4"/>
  <c r="B22" i="4" s="1"/>
  <c r="C5" i="4" s="1"/>
  <c r="B71" i="4"/>
  <c r="B72" i="4" s="1"/>
  <c r="C55" i="4" s="1"/>
  <c r="I14" i="5"/>
  <c r="I39" i="5"/>
  <c r="O42" i="6"/>
  <c r="I7" i="5"/>
  <c r="I31" i="5"/>
  <c r="B31" i="6"/>
  <c r="B8" i="6"/>
  <c r="B55" i="6"/>
  <c r="C58" i="4"/>
  <c r="C61" i="4" s="1"/>
  <c r="C65" i="3"/>
  <c r="C67" i="3" s="1"/>
  <c r="C33" i="4"/>
  <c r="C41" i="3"/>
  <c r="C43" i="3" s="1"/>
  <c r="C24" i="3" l="1"/>
  <c r="D7" i="3"/>
  <c r="B48" i="4"/>
  <c r="B49" i="4"/>
  <c r="B50" i="4"/>
  <c r="B23" i="4"/>
  <c r="B24" i="4"/>
  <c r="B25" i="4"/>
  <c r="B8" i="5"/>
  <c r="B15" i="5"/>
  <c r="B40" i="5"/>
  <c r="C19" i="4"/>
  <c r="B73" i="4"/>
  <c r="B74" i="4"/>
  <c r="B75" i="4"/>
  <c r="B58" i="5"/>
  <c r="B66" i="5"/>
  <c r="I19" i="6"/>
  <c r="I42" i="6"/>
  <c r="J41" i="7"/>
  <c r="J76" i="7"/>
  <c r="C68" i="3"/>
  <c r="C66" i="4"/>
  <c r="C67" i="4" s="1"/>
  <c r="C44" i="3"/>
  <c r="C41" i="4"/>
  <c r="C42" i="4" s="1"/>
  <c r="C44" i="4" s="1"/>
  <c r="D13" i="3" l="1"/>
  <c r="D14" i="4"/>
  <c r="D18" i="6" s="1"/>
  <c r="D13" i="4"/>
  <c r="D11" i="3"/>
  <c r="D9" i="3"/>
  <c r="D6" i="4" s="1"/>
  <c r="C46" i="4"/>
  <c r="C47" i="4" s="1"/>
  <c r="D30" i="4" s="1"/>
  <c r="B9" i="5"/>
  <c r="C42" i="7"/>
  <c r="C45" i="7" s="1"/>
  <c r="B16" i="5"/>
  <c r="B20" i="6"/>
  <c r="B41" i="5"/>
  <c r="B43" i="6"/>
  <c r="C21" i="4"/>
  <c r="C22" i="4"/>
  <c r="D5" i="4" s="1"/>
  <c r="B59" i="5"/>
  <c r="B67" i="5"/>
  <c r="B67" i="6"/>
  <c r="D54" i="3"/>
  <c r="C71" i="3"/>
  <c r="D30" i="3"/>
  <c r="C47" i="3"/>
  <c r="C69" i="4"/>
  <c r="D15" i="3" l="1"/>
  <c r="D8" i="4" s="1"/>
  <c r="D16" i="3"/>
  <c r="D17" i="6"/>
  <c r="D18" i="3"/>
  <c r="D20" i="3" s="1"/>
  <c r="D7" i="4"/>
  <c r="D11" i="4" s="1"/>
  <c r="C48" i="4"/>
  <c r="C49" i="4"/>
  <c r="C50" i="4"/>
  <c r="C32" i="5"/>
  <c r="C40" i="5"/>
  <c r="B10" i="5"/>
  <c r="B17" i="5"/>
  <c r="B21" i="6"/>
  <c r="B22" i="6" s="1"/>
  <c r="B42" i="5"/>
  <c r="B44" i="6"/>
  <c r="B45" i="6" s="1"/>
  <c r="C23" i="4"/>
  <c r="C24" i="4"/>
  <c r="C8" i="5"/>
  <c r="C15" i="5"/>
  <c r="C25" i="4"/>
  <c r="B60" i="5"/>
  <c r="B68" i="5"/>
  <c r="B68" i="6"/>
  <c r="B69" i="6" s="1"/>
  <c r="D56" i="3"/>
  <c r="D56" i="4" s="1"/>
  <c r="D58" i="3"/>
  <c r="D60" i="3"/>
  <c r="D63" i="4"/>
  <c r="D64" i="4"/>
  <c r="D65" i="6" s="1"/>
  <c r="D32" i="3"/>
  <c r="D31" i="4" s="1"/>
  <c r="D34" i="3"/>
  <c r="D36" i="3"/>
  <c r="D39" i="4"/>
  <c r="D41" i="6" s="1"/>
  <c r="D38" i="4"/>
  <c r="C71" i="4"/>
  <c r="C72" i="4" s="1"/>
  <c r="D55" i="4" s="1"/>
  <c r="D21" i="3" l="1"/>
  <c r="D16" i="4"/>
  <c r="D17" i="4" s="1"/>
  <c r="C33" i="5"/>
  <c r="D77" i="7"/>
  <c r="D80" i="7" s="1"/>
  <c r="C41" i="5"/>
  <c r="C43" i="6"/>
  <c r="C9" i="5"/>
  <c r="D42" i="7"/>
  <c r="D45" i="7" s="1"/>
  <c r="C16" i="5"/>
  <c r="C20" i="6"/>
  <c r="D57" i="4"/>
  <c r="D62" i="3"/>
  <c r="D64" i="6"/>
  <c r="D32" i="4"/>
  <c r="D38" i="3"/>
  <c r="D40" i="6"/>
  <c r="C73" i="4"/>
  <c r="C74" i="4"/>
  <c r="C75" i="4"/>
  <c r="C58" i="5"/>
  <c r="C66" i="5"/>
  <c r="E7" i="3" l="1"/>
  <c r="D24" i="3"/>
  <c r="D19" i="4"/>
  <c r="C34" i="5"/>
  <c r="C42" i="5"/>
  <c r="C44" i="6"/>
  <c r="C45" i="6" s="1"/>
  <c r="C10" i="5"/>
  <c r="C17" i="5"/>
  <c r="C21" i="6"/>
  <c r="C22" i="6" s="1"/>
  <c r="C59" i="5"/>
  <c r="C67" i="5"/>
  <c r="C67" i="6"/>
  <c r="D58" i="4"/>
  <c r="D61" i="4" s="1"/>
  <c r="D63" i="3"/>
  <c r="D65" i="3"/>
  <c r="D67" i="3" s="1"/>
  <c r="D33" i="4"/>
  <c r="D36" i="4" s="1"/>
  <c r="D39" i="3"/>
  <c r="D41" i="3"/>
  <c r="D43" i="3" s="1"/>
  <c r="E14" i="4" l="1"/>
  <c r="E18" i="6" s="1"/>
  <c r="E13" i="4"/>
  <c r="E13" i="3"/>
  <c r="E11" i="3"/>
  <c r="E9" i="3"/>
  <c r="E6" i="4" s="1"/>
  <c r="D21" i="4"/>
  <c r="D22" i="4" s="1"/>
  <c r="E5" i="4" s="1"/>
  <c r="C60" i="5"/>
  <c r="C68" i="5"/>
  <c r="C68" i="6"/>
  <c r="C69" i="6" s="1"/>
  <c r="D66" i="4"/>
  <c r="D67" i="4" s="1"/>
  <c r="D68" i="3"/>
  <c r="D41" i="4"/>
  <c r="D42" i="4" s="1"/>
  <c r="D44" i="3"/>
  <c r="E17" i="6" l="1"/>
  <c r="E15" i="3"/>
  <c r="E8" i="4" s="1"/>
  <c r="E16" i="3"/>
  <c r="E18" i="3"/>
  <c r="E20" i="3" s="1"/>
  <c r="E7" i="4"/>
  <c r="E11" i="4" s="1"/>
  <c r="D23" i="4"/>
  <c r="D24" i="4"/>
  <c r="D8" i="5"/>
  <c r="D15" i="5"/>
  <c r="D25" i="4"/>
  <c r="D71" i="3"/>
  <c r="E54" i="3"/>
  <c r="D47" i="3"/>
  <c r="E30" i="3"/>
  <c r="D69" i="4"/>
  <c r="D44" i="4"/>
  <c r="E21" i="3" l="1"/>
  <c r="E16" i="4"/>
  <c r="E17" i="4" s="1"/>
  <c r="D9" i="5"/>
  <c r="E42" i="7"/>
  <c r="E45" i="7" s="1"/>
  <c r="D16" i="5"/>
  <c r="D20" i="6"/>
  <c r="E64" i="4"/>
  <c r="E65" i="6" s="1"/>
  <c r="E63" i="4"/>
  <c r="E60" i="3"/>
  <c r="E58" i="3"/>
  <c r="E56" i="3"/>
  <c r="E56" i="4" s="1"/>
  <c r="E39" i="4"/>
  <c r="E41" i="6" s="1"/>
  <c r="E38" i="4"/>
  <c r="E36" i="3"/>
  <c r="E34" i="3"/>
  <c r="E32" i="3"/>
  <c r="E31" i="4" s="1"/>
  <c r="D71" i="4"/>
  <c r="D72" i="4" s="1"/>
  <c r="E55" i="4" s="1"/>
  <c r="D46" i="4"/>
  <c r="D47" i="4" s="1"/>
  <c r="E30" i="4" s="1"/>
  <c r="F7" i="3" l="1"/>
  <c r="E24" i="3"/>
  <c r="E19" i="4"/>
  <c r="D10" i="5"/>
  <c r="D17" i="5"/>
  <c r="D21" i="6"/>
  <c r="D22" i="6" s="1"/>
  <c r="E64" i="6"/>
  <c r="E62" i="3"/>
  <c r="E58" i="4" s="1"/>
  <c r="E63" i="3"/>
  <c r="E57" i="4"/>
  <c r="E61" i="4" s="1"/>
  <c r="E65" i="3"/>
  <c r="E67" i="3" s="1"/>
  <c r="E40" i="6"/>
  <c r="E38" i="3"/>
  <c r="E33" i="4" s="1"/>
  <c r="E39" i="3"/>
  <c r="E41" i="3"/>
  <c r="E43" i="3" s="1"/>
  <c r="E32" i="4"/>
  <c r="E36" i="4" s="1"/>
  <c r="D73" i="4"/>
  <c r="D74" i="4"/>
  <c r="D75" i="4"/>
  <c r="D58" i="5"/>
  <c r="D66" i="5"/>
  <c r="D48" i="4"/>
  <c r="D49" i="4"/>
  <c r="D50" i="4"/>
  <c r="D32" i="5"/>
  <c r="D40" i="5"/>
  <c r="F13" i="3" l="1"/>
  <c r="F14" i="4"/>
  <c r="F18" i="6" s="1"/>
  <c r="F13" i="4"/>
  <c r="F11" i="3"/>
  <c r="F9" i="3"/>
  <c r="F6" i="4" s="1"/>
  <c r="E21" i="4"/>
  <c r="E22" i="4" s="1"/>
  <c r="F5" i="4" s="1"/>
  <c r="E68" i="3"/>
  <c r="E66" i="4"/>
  <c r="E67" i="4" s="1"/>
  <c r="E44" i="3"/>
  <c r="E41" i="4"/>
  <c r="E42" i="4" s="1"/>
  <c r="D59" i="5"/>
  <c r="D67" i="5"/>
  <c r="D67" i="6"/>
  <c r="D33" i="5"/>
  <c r="E77" i="7"/>
  <c r="E80" i="7" s="1"/>
  <c r="D41" i="5"/>
  <c r="D43" i="6"/>
  <c r="F15" i="3" l="1"/>
  <c r="F8" i="4" s="1"/>
  <c r="F16" i="3"/>
  <c r="F17" i="6"/>
  <c r="F18" i="3"/>
  <c r="F20" i="3" s="1"/>
  <c r="F7" i="4"/>
  <c r="F11" i="4" s="1"/>
  <c r="E23" i="4"/>
  <c r="E24" i="4"/>
  <c r="E25" i="4"/>
  <c r="E8" i="5"/>
  <c r="E15" i="5"/>
  <c r="F54" i="3"/>
  <c r="E71" i="3"/>
  <c r="E69" i="4"/>
  <c r="F30" i="3"/>
  <c r="E47" i="3"/>
  <c r="E44" i="4"/>
  <c r="D60" i="5"/>
  <c r="D68" i="5"/>
  <c r="D68" i="6"/>
  <c r="D69" i="6" s="1"/>
  <c r="D34" i="5"/>
  <c r="D42" i="5"/>
  <c r="D44" i="6"/>
  <c r="D45" i="6" s="1"/>
  <c r="F21" i="3" l="1"/>
  <c r="F16" i="4"/>
  <c r="F17" i="4" s="1"/>
  <c r="E9" i="5"/>
  <c r="F42" i="7"/>
  <c r="F45" i="7" s="1"/>
  <c r="E16" i="5"/>
  <c r="E20" i="6"/>
  <c r="F64" i="4"/>
  <c r="F65" i="6" s="1"/>
  <c r="F63" i="4"/>
  <c r="F60" i="3"/>
  <c r="F58" i="3"/>
  <c r="F56" i="3"/>
  <c r="F56" i="4" s="1"/>
  <c r="E71" i="4"/>
  <c r="E72" i="4" s="1"/>
  <c r="F55" i="4" s="1"/>
  <c r="F38" i="4"/>
  <c r="F39" i="4"/>
  <c r="F41" i="6" s="1"/>
  <c r="F36" i="3"/>
  <c r="F34" i="3"/>
  <c r="F32" i="3"/>
  <c r="F31" i="4" s="1"/>
  <c r="E46" i="4"/>
  <c r="E47" i="4" s="1"/>
  <c r="F30" i="4" s="1"/>
  <c r="G7" i="3" l="1"/>
  <c r="F24" i="3"/>
  <c r="F19" i="4"/>
  <c r="E10" i="5"/>
  <c r="E17" i="5"/>
  <c r="E21" i="6"/>
  <c r="E22" i="6" s="1"/>
  <c r="F64" i="6"/>
  <c r="F62" i="3"/>
  <c r="F58" i="4" s="1"/>
  <c r="F63" i="3"/>
  <c r="F65" i="3"/>
  <c r="F67" i="3" s="1"/>
  <c r="F57" i="4"/>
  <c r="E73" i="4"/>
  <c r="E74" i="4"/>
  <c r="E75" i="4"/>
  <c r="E58" i="5"/>
  <c r="E66" i="5"/>
  <c r="F40" i="6"/>
  <c r="F38" i="3"/>
  <c r="F33" i="4" s="1"/>
  <c r="F39" i="3"/>
  <c r="F32" i="4"/>
  <c r="F36" i="4" s="1"/>
  <c r="F41" i="3"/>
  <c r="F43" i="3" s="1"/>
  <c r="E48" i="4"/>
  <c r="E49" i="4"/>
  <c r="E50" i="4"/>
  <c r="E32" i="5"/>
  <c r="E40" i="5"/>
  <c r="G11" i="3" l="1"/>
  <c r="G9" i="3"/>
  <c r="G6" i="4" s="1"/>
  <c r="G14" i="4"/>
  <c r="G18" i="6" s="1"/>
  <c r="G13" i="4"/>
  <c r="G13" i="3"/>
  <c r="F21" i="4"/>
  <c r="F22" i="4" s="1"/>
  <c r="G5" i="4" s="1"/>
  <c r="F68" i="3"/>
  <c r="F66" i="4"/>
  <c r="F67" i="4" s="1"/>
  <c r="E59" i="5"/>
  <c r="E67" i="5"/>
  <c r="E67" i="6"/>
  <c r="F44" i="3"/>
  <c r="F41" i="4"/>
  <c r="F42" i="4" s="1"/>
  <c r="E33" i="5"/>
  <c r="F77" i="7"/>
  <c r="F80" i="7" s="1"/>
  <c r="E41" i="5"/>
  <c r="E43" i="6"/>
  <c r="F61" i="4"/>
  <c r="G7" i="4" l="1"/>
  <c r="G11" i="4" s="1"/>
  <c r="G17" i="6"/>
  <c r="G15" i="3"/>
  <c r="G16" i="3"/>
  <c r="F23" i="4"/>
  <c r="F8" i="5"/>
  <c r="F15" i="5"/>
  <c r="F24" i="4"/>
  <c r="F25" i="4"/>
  <c r="G54" i="3"/>
  <c r="F71" i="3"/>
  <c r="E60" i="5"/>
  <c r="E68" i="5"/>
  <c r="E68" i="6"/>
  <c r="E69" i="6" s="1"/>
  <c r="G30" i="3"/>
  <c r="F47" i="3"/>
  <c r="F44" i="4"/>
  <c r="E34" i="5"/>
  <c r="E42" i="5"/>
  <c r="E44" i="6"/>
  <c r="E45" i="6" s="1"/>
  <c r="F69" i="4"/>
  <c r="F9" i="5" l="1"/>
  <c r="G42" i="7"/>
  <c r="G45" i="7" s="1"/>
  <c r="F16" i="5"/>
  <c r="F17" i="5" s="1"/>
  <c r="F20" i="6"/>
  <c r="F21" i="6" s="1"/>
  <c r="F22" i="6" s="1"/>
  <c r="G64" i="4"/>
  <c r="G65" i="6" s="1"/>
  <c r="G63" i="4"/>
  <c r="G60" i="3"/>
  <c r="G58" i="3"/>
  <c r="G56" i="3"/>
  <c r="G56" i="4" s="1"/>
  <c r="G39" i="4"/>
  <c r="G41" i="6" s="1"/>
  <c r="G38" i="4"/>
  <c r="G36" i="3"/>
  <c r="G34" i="3"/>
  <c r="G32" i="3"/>
  <c r="G31" i="4" s="1"/>
  <c r="F46" i="4"/>
  <c r="F47" i="4" s="1"/>
  <c r="G30" i="4" s="1"/>
  <c r="F71" i="4"/>
  <c r="F72" i="4" s="1"/>
  <c r="G55" i="4" s="1"/>
  <c r="G8" i="4"/>
  <c r="G18" i="3"/>
  <c r="G20" i="3" s="1"/>
  <c r="F10" i="5" l="1"/>
  <c r="G64" i="6"/>
  <c r="G62" i="3"/>
  <c r="G58" i="4" s="1"/>
  <c r="G63" i="3"/>
  <c r="H64" i="3" s="1"/>
  <c r="G57" i="4"/>
  <c r="G61" i="4" s="1"/>
  <c r="G65" i="3"/>
  <c r="G67" i="3" s="1"/>
  <c r="G40" i="6"/>
  <c r="G38" i="3"/>
  <c r="G33" i="4" s="1"/>
  <c r="G39" i="3"/>
  <c r="G41" i="3"/>
  <c r="G43" i="3" s="1"/>
  <c r="G32" i="4"/>
  <c r="G36" i="4" s="1"/>
  <c r="F48" i="4"/>
  <c r="F49" i="4"/>
  <c r="F50" i="4"/>
  <c r="F32" i="5"/>
  <c r="F40" i="5"/>
  <c r="F73" i="4"/>
  <c r="F74" i="4"/>
  <c r="F75" i="4"/>
  <c r="F58" i="5"/>
  <c r="F59" i="5" s="1"/>
  <c r="F66" i="5"/>
  <c r="G16" i="4"/>
  <c r="G17" i="4" s="1"/>
  <c r="G21" i="3"/>
  <c r="G68" i="3" l="1"/>
  <c r="G66" i="4"/>
  <c r="G67" i="4" s="1"/>
  <c r="G44" i="3"/>
  <c r="G41" i="4"/>
  <c r="G42" i="4" s="1"/>
  <c r="F33" i="5"/>
  <c r="G77" i="7"/>
  <c r="G80" i="7" s="1"/>
  <c r="F41" i="5"/>
  <c r="F42" i="5" s="1"/>
  <c r="F43" i="6"/>
  <c r="F44" i="6" s="1"/>
  <c r="F45" i="6" s="1"/>
  <c r="F60" i="5"/>
  <c r="F67" i="5"/>
  <c r="F68" i="5" s="1"/>
  <c r="F67" i="6"/>
  <c r="F68" i="6" s="1"/>
  <c r="F69" i="6" s="1"/>
  <c r="G19" i="4"/>
  <c r="H7" i="3"/>
  <c r="G24" i="3"/>
  <c r="G71" i="3" l="1"/>
  <c r="H54" i="3"/>
  <c r="G69" i="4"/>
  <c r="H30" i="3"/>
  <c r="G47" i="3"/>
  <c r="G44" i="4"/>
  <c r="F34" i="5"/>
  <c r="G21" i="4"/>
  <c r="G22" i="4"/>
  <c r="H5" i="4" s="1"/>
  <c r="H14" i="4"/>
  <c r="H18" i="6" s="1"/>
  <c r="H13" i="4"/>
  <c r="H11" i="3"/>
  <c r="H9" i="3"/>
  <c r="H6" i="4" s="1"/>
  <c r="H13" i="3"/>
  <c r="H64" i="4" l="1"/>
  <c r="H65" i="6" s="1"/>
  <c r="H63" i="4"/>
  <c r="H60" i="3"/>
  <c r="H58" i="3"/>
  <c r="H56" i="3"/>
  <c r="H56" i="4" s="1"/>
  <c r="G71" i="4"/>
  <c r="G72" i="4" s="1"/>
  <c r="H55" i="4" s="1"/>
  <c r="H38" i="4"/>
  <c r="H39" i="4"/>
  <c r="H41" i="6" s="1"/>
  <c r="H36" i="3"/>
  <c r="H34" i="3"/>
  <c r="H32" i="3"/>
  <c r="H31" i="4" s="1"/>
  <c r="G46" i="4"/>
  <c r="G47" i="4" s="1"/>
  <c r="H30" i="4" s="1"/>
  <c r="G23" i="4"/>
  <c r="G25" i="4"/>
  <c r="G24" i="4"/>
  <c r="G8" i="5"/>
  <c r="G15" i="5"/>
  <c r="H17" i="6"/>
  <c r="H7" i="4"/>
  <c r="F19" i="7"/>
  <c r="H19" i="7" s="1"/>
  <c r="H15" i="3"/>
  <c r="H16" i="3"/>
  <c r="H64" i="6" l="1"/>
  <c r="F87" i="7" a="1"/>
  <c r="F87" i="7" s="1"/>
  <c r="H87" i="7" s="1"/>
  <c r="H62" i="3"/>
  <c r="H58" i="4" s="1"/>
  <c r="H63" i="3"/>
  <c r="I64" i="3" s="1"/>
  <c r="H57" i="4"/>
  <c r="H61" i="4" s="1"/>
  <c r="H65" i="3"/>
  <c r="H67" i="3" s="1"/>
  <c r="G73" i="4"/>
  <c r="G74" i="4"/>
  <c r="G75" i="4"/>
  <c r="G58" i="5"/>
  <c r="G59" i="5" s="1"/>
  <c r="G66" i="5"/>
  <c r="H40" i="6"/>
  <c r="F53" i="7"/>
  <c r="H53" i="7" s="1"/>
  <c r="H38" i="3"/>
  <c r="H33" i="4" s="1"/>
  <c r="H39" i="3"/>
  <c r="H32" i="4"/>
  <c r="H36" i="4" s="1"/>
  <c r="H41" i="3"/>
  <c r="H43" i="3" s="1"/>
  <c r="G48" i="4"/>
  <c r="G49" i="4"/>
  <c r="G50" i="4"/>
  <c r="G32" i="5"/>
  <c r="G40" i="5"/>
  <c r="G9" i="5"/>
  <c r="H42" i="7"/>
  <c r="H45" i="7" s="1"/>
  <c r="G16" i="5"/>
  <c r="G17" i="5" s="1"/>
  <c r="G20" i="6"/>
  <c r="G21" i="6" s="1"/>
  <c r="G22" i="6" s="1"/>
  <c r="H8" i="4"/>
  <c r="H11" i="4" s="1"/>
  <c r="H18" i="3"/>
  <c r="H20" i="3" s="1"/>
  <c r="H68" i="3" l="1"/>
  <c r="H66" i="4"/>
  <c r="H67" i="4" s="1"/>
  <c r="G60" i="5"/>
  <c r="G67" i="5"/>
  <c r="G68" i="5" s="1"/>
  <c r="G67" i="6"/>
  <c r="G68" i="6" s="1"/>
  <c r="G69" i="6" s="1"/>
  <c r="H44" i="3"/>
  <c r="H41" i="4"/>
  <c r="H42" i="4" s="1"/>
  <c r="G33" i="5"/>
  <c r="H77" i="7"/>
  <c r="H80" i="7" s="1"/>
  <c r="G41" i="5"/>
  <c r="G42" i="5" s="1"/>
  <c r="G43" i="6"/>
  <c r="G44" i="6" s="1"/>
  <c r="G45" i="6" s="1"/>
  <c r="G10" i="5"/>
  <c r="H16" i="4"/>
  <c r="H17" i="4" s="1"/>
  <c r="H21" i="3"/>
  <c r="I54" i="3" l="1"/>
  <c r="H71" i="3"/>
  <c r="H69" i="4"/>
  <c r="I30" i="3"/>
  <c r="H47" i="3"/>
  <c r="G34" i="5"/>
  <c r="I7" i="3"/>
  <c r="H24" i="3"/>
  <c r="H44" i="4"/>
  <c r="H19" i="4"/>
  <c r="I64" i="4" l="1"/>
  <c r="I65" i="6" s="1"/>
  <c r="I63" i="4"/>
  <c r="I60" i="3"/>
  <c r="I58" i="3"/>
  <c r="I56" i="3"/>
  <c r="I56" i="4" s="1"/>
  <c r="H71" i="4"/>
  <c r="H72" i="4" s="1"/>
  <c r="I55" i="4" s="1"/>
  <c r="I39" i="4"/>
  <c r="I41" i="6" s="1"/>
  <c r="I38" i="4"/>
  <c r="I36" i="3"/>
  <c r="I34" i="3"/>
  <c r="I32" i="3"/>
  <c r="I31" i="4" s="1"/>
  <c r="I11" i="3"/>
  <c r="I9" i="3"/>
  <c r="I6" i="4" s="1"/>
  <c r="I14" i="4"/>
  <c r="I18" i="6" s="1"/>
  <c r="I13" i="4"/>
  <c r="I13" i="3"/>
  <c r="H46" i="4"/>
  <c r="H47" i="4"/>
  <c r="H21" i="4"/>
  <c r="H22" i="4"/>
  <c r="I64" i="6" l="1"/>
  <c r="I62" i="3"/>
  <c r="I58" i="4" s="1"/>
  <c r="I63" i="3"/>
  <c r="J64" i="3" s="1"/>
  <c r="I65" i="3"/>
  <c r="I57" i="4"/>
  <c r="H73" i="4"/>
  <c r="H74" i="4"/>
  <c r="H75" i="4"/>
  <c r="H58" i="5"/>
  <c r="H59" i="5" s="1"/>
  <c r="H66" i="5"/>
  <c r="I40" i="6"/>
  <c r="I38" i="3"/>
  <c r="I32" i="4"/>
  <c r="I18" i="3"/>
  <c r="I20" i="3" s="1"/>
  <c r="I7" i="4"/>
  <c r="I17" i="6"/>
  <c r="I15" i="3"/>
  <c r="I8" i="4" s="1"/>
  <c r="I16" i="3"/>
  <c r="H48" i="4"/>
  <c r="H49" i="4"/>
  <c r="H50" i="4"/>
  <c r="H32" i="5"/>
  <c r="H40" i="5"/>
  <c r="F86" i="7"/>
  <c r="F52" i="7"/>
  <c r="I30" i="4"/>
  <c r="H23" i="4"/>
  <c r="H24" i="4"/>
  <c r="H25" i="4"/>
  <c r="H8" i="5"/>
  <c r="H15" i="5"/>
  <c r="F18" i="7"/>
  <c r="I5" i="4"/>
  <c r="F88" i="7" l="1"/>
  <c r="H88" i="7" s="1"/>
  <c r="H60" i="5"/>
  <c r="H67" i="5"/>
  <c r="H68" i="5" s="1"/>
  <c r="H67" i="6"/>
  <c r="H68" i="6" s="1"/>
  <c r="H69" i="6" s="1"/>
  <c r="I21" i="3"/>
  <c r="I16" i="4"/>
  <c r="I17" i="4" s="1"/>
  <c r="H33" i="5"/>
  <c r="I77" i="7"/>
  <c r="I80" i="7" s="1"/>
  <c r="H41" i="5"/>
  <c r="H42" i="5" s="1"/>
  <c r="H43" i="6"/>
  <c r="H44" i="6" s="1"/>
  <c r="H45" i="6" s="1"/>
  <c r="H86" i="7"/>
  <c r="E6" i="7"/>
  <c r="H52" i="7"/>
  <c r="H9" i="5"/>
  <c r="I42" i="7"/>
  <c r="I45" i="7" s="1"/>
  <c r="H16" i="5"/>
  <c r="H17" i="5" s="1"/>
  <c r="H20" i="6"/>
  <c r="H21" i="6" s="1"/>
  <c r="H22" i="6" s="1"/>
  <c r="H18" i="7"/>
  <c r="I11" i="4"/>
  <c r="I33" i="4"/>
  <c r="I36" i="4" s="1"/>
  <c r="I41" i="3"/>
  <c r="I43" i="3" s="1"/>
  <c r="I39" i="3"/>
  <c r="J7" i="3" l="1"/>
  <c r="I24" i="3"/>
  <c r="F54" i="7"/>
  <c r="H34" i="5"/>
  <c r="I57" i="5"/>
  <c r="I65" i="5"/>
  <c r="I66" i="3"/>
  <c r="F20" i="7"/>
  <c r="H10" i="5"/>
  <c r="I41" i="4"/>
  <c r="I42" i="4" s="1"/>
  <c r="I44" i="3"/>
  <c r="I19" i="4"/>
  <c r="I44" i="4"/>
  <c r="J14" i="4" l="1"/>
  <c r="J18" i="6" s="1"/>
  <c r="J13" i="4"/>
  <c r="J11" i="3"/>
  <c r="J9" i="3"/>
  <c r="J6" i="4" s="1"/>
  <c r="J13" i="3"/>
  <c r="D6" i="7"/>
  <c r="H54" i="7"/>
  <c r="I66" i="6"/>
  <c r="I67" i="3"/>
  <c r="I59" i="4"/>
  <c r="I61" i="4" s="1"/>
  <c r="C6" i="7"/>
  <c r="H20" i="7"/>
  <c r="J30" i="3"/>
  <c r="I47" i="3"/>
  <c r="I21" i="4"/>
  <c r="I22" i="4"/>
  <c r="J5" i="4" s="1"/>
  <c r="I47" i="4"/>
  <c r="J30" i="4" s="1"/>
  <c r="I46" i="4"/>
  <c r="J17" i="6" l="1"/>
  <c r="J7" i="4"/>
  <c r="J15" i="3"/>
  <c r="J16" i="3"/>
  <c r="L18" i="7" s="1"/>
  <c r="N18" i="7" s="1"/>
  <c r="M63" i="7"/>
  <c r="N63" i="7" s="1"/>
  <c r="D7" i="7"/>
  <c r="D9" i="7" s="1"/>
  <c r="I66" i="4"/>
  <c r="I67" i="4" s="1"/>
  <c r="I68" i="3"/>
  <c r="I69" i="4"/>
  <c r="C7" i="7"/>
  <c r="C9" i="7" s="1"/>
  <c r="J38" i="4"/>
  <c r="J39" i="4"/>
  <c r="J41" i="6" s="1"/>
  <c r="J36" i="3"/>
  <c r="J34" i="3"/>
  <c r="J32" i="3"/>
  <c r="J31" i="4" s="1"/>
  <c r="I23" i="4"/>
  <c r="I8" i="5"/>
  <c r="I15" i="5"/>
  <c r="I25" i="4"/>
  <c r="I24" i="4"/>
  <c r="I48" i="4"/>
  <c r="I49" i="4"/>
  <c r="I50" i="4"/>
  <c r="I32" i="5"/>
  <c r="I40" i="5"/>
  <c r="J54" i="3" l="1"/>
  <c r="I71" i="3"/>
  <c r="I71" i="4"/>
  <c r="I72" i="4" s="1"/>
  <c r="J55" i="4" s="1"/>
  <c r="J40" i="6"/>
  <c r="J38" i="3"/>
  <c r="J32" i="4"/>
  <c r="I9" i="5"/>
  <c r="I10" i="5" s="1"/>
  <c r="J42" i="7"/>
  <c r="J45" i="7" s="1"/>
  <c r="I16" i="5"/>
  <c r="I17" i="5" s="1"/>
  <c r="I20" i="6"/>
  <c r="I21" i="6" s="1"/>
  <c r="I22" i="6" s="1"/>
  <c r="I33" i="5"/>
  <c r="I34" i="5" s="1"/>
  <c r="J77" i="7"/>
  <c r="J80" i="7" s="1"/>
  <c r="I41" i="5"/>
  <c r="I42" i="5" s="1"/>
  <c r="I43" i="6"/>
  <c r="I44" i="6" s="1"/>
  <c r="I45" i="6" s="1"/>
  <c r="J8" i="4"/>
  <c r="J11" i="4" s="1"/>
  <c r="J18" i="3"/>
  <c r="J20" i="3" s="1"/>
  <c r="J64" i="4" l="1"/>
  <c r="J65" i="6" s="1"/>
  <c r="J63" i="4"/>
  <c r="J60" i="3"/>
  <c r="J58" i="3"/>
  <c r="J56" i="3"/>
  <c r="J56" i="4" s="1"/>
  <c r="I73" i="4"/>
  <c r="I74" i="4"/>
  <c r="I75" i="4"/>
  <c r="I58" i="5"/>
  <c r="I59" i="5" s="1"/>
  <c r="I60" i="5" s="1"/>
  <c r="I66" i="5"/>
  <c r="J16" i="4"/>
  <c r="J17" i="4" s="1"/>
  <c r="J21" i="3"/>
  <c r="J33" i="4"/>
  <c r="J36" i="4" s="1"/>
  <c r="J39" i="3"/>
  <c r="L54" i="7" s="1"/>
  <c r="N54" i="7" s="1"/>
  <c r="J41" i="3"/>
  <c r="J43" i="3" s="1"/>
  <c r="J64" i="6" l="1"/>
  <c r="J62" i="3"/>
  <c r="J58" i="4" s="1"/>
  <c r="J63" i="3"/>
  <c r="J65" i="3"/>
  <c r="J67" i="3" s="1"/>
  <c r="J57" i="4"/>
  <c r="J61" i="4" s="1"/>
  <c r="I67" i="5"/>
  <c r="I68" i="5" s="1"/>
  <c r="I67" i="6"/>
  <c r="I68" i="6" s="1"/>
  <c r="I69" i="6" s="1"/>
  <c r="K7" i="3"/>
  <c r="J24" i="3"/>
  <c r="J41" i="4"/>
  <c r="J42" i="4" s="1"/>
  <c r="J44" i="3"/>
  <c r="J19" i="4"/>
  <c r="K64" i="3" l="1"/>
  <c r="L88" i="7"/>
  <c r="N88" i="7" s="1"/>
  <c r="J68" i="3"/>
  <c r="J66" i="4"/>
  <c r="J67" i="4" s="1"/>
  <c r="J69" i="4"/>
  <c r="K11" i="3"/>
  <c r="K13" i="4"/>
  <c r="K14" i="4"/>
  <c r="K18" i="6" s="1"/>
  <c r="K13" i="3"/>
  <c r="K9" i="3"/>
  <c r="K6" i="4" s="1"/>
  <c r="K30" i="3"/>
  <c r="J47" i="3"/>
  <c r="J21" i="4"/>
  <c r="J22" i="4"/>
  <c r="J44" i="4"/>
  <c r="K54" i="3" l="1"/>
  <c r="J71" i="3"/>
  <c r="J71" i="4"/>
  <c r="J72" i="4" s="1"/>
  <c r="K7" i="4"/>
  <c r="K17" i="6"/>
  <c r="K15" i="3"/>
  <c r="K16" i="3"/>
  <c r="K39" i="4"/>
  <c r="K41" i="6" s="1"/>
  <c r="K38" i="4"/>
  <c r="K36" i="3"/>
  <c r="K34" i="3"/>
  <c r="K32" i="3"/>
  <c r="K31" i="4" s="1"/>
  <c r="J23" i="4"/>
  <c r="J8" i="5"/>
  <c r="J15" i="5"/>
  <c r="J25" i="4"/>
  <c r="J24" i="4"/>
  <c r="K5" i="4"/>
  <c r="L19" i="7"/>
  <c r="N19" i="7" s="1"/>
  <c r="L55" i="7"/>
  <c r="N55" i="7" s="1"/>
  <c r="J46" i="4"/>
  <c r="J47" i="4" s="1"/>
  <c r="K30" i="4" s="1"/>
  <c r="K64" i="4" l="1"/>
  <c r="K65" i="6" s="1"/>
  <c r="K63" i="4"/>
  <c r="K60" i="3"/>
  <c r="K58" i="3"/>
  <c r="K56" i="3"/>
  <c r="K56" i="4" s="1"/>
  <c r="L89" i="7"/>
  <c r="N89" i="7" s="1"/>
  <c r="E7" i="7" s="1"/>
  <c r="E9" i="7" s="1"/>
  <c r="K55" i="4"/>
  <c r="J73" i="4"/>
  <c r="J74" i="4"/>
  <c r="J75" i="4"/>
  <c r="J58" i="5"/>
  <c r="J59" i="5" s="1"/>
  <c r="J60" i="5" s="1"/>
  <c r="J66" i="5"/>
  <c r="K40" i="6"/>
  <c r="K38" i="3"/>
  <c r="K33" i="4" s="1"/>
  <c r="K39" i="3"/>
  <c r="K41" i="3"/>
  <c r="K43" i="3" s="1"/>
  <c r="K32" i="4"/>
  <c r="J9" i="5"/>
  <c r="J10" i="5" s="1"/>
  <c r="K42" i="7"/>
  <c r="K45" i="7" s="1"/>
  <c r="J16" i="5"/>
  <c r="J17" i="5" s="1"/>
  <c r="J20" i="6"/>
  <c r="J21" i="6" s="1"/>
  <c r="J22" i="6" s="1"/>
  <c r="J48" i="4"/>
  <c r="J49" i="4"/>
  <c r="J50" i="4"/>
  <c r="J32" i="5"/>
  <c r="J40" i="5"/>
  <c r="K8" i="4"/>
  <c r="K11" i="4" s="1"/>
  <c r="K18" i="3"/>
  <c r="K20" i="3" s="1"/>
  <c r="K64" i="6" l="1"/>
  <c r="K62" i="3"/>
  <c r="K58" i="4" s="1"/>
  <c r="K63" i="3"/>
  <c r="L64" i="3" s="1"/>
  <c r="K57" i="4"/>
  <c r="K61" i="4" s="1"/>
  <c r="K65" i="3"/>
  <c r="K67" i="3" s="1"/>
  <c r="J67" i="5"/>
  <c r="J68" i="5" s="1"/>
  <c r="J67" i="6"/>
  <c r="J68" i="6" s="1"/>
  <c r="J69" i="6" s="1"/>
  <c r="K44" i="3"/>
  <c r="K41" i="4"/>
  <c r="K42" i="4" s="1"/>
  <c r="J33" i="5"/>
  <c r="J34" i="5" s="1"/>
  <c r="K77" i="7"/>
  <c r="K80" i="7" s="1"/>
  <c r="J41" i="5"/>
  <c r="J42" i="5" s="1"/>
  <c r="J43" i="6"/>
  <c r="J44" i="6" s="1"/>
  <c r="J45" i="6" s="1"/>
  <c r="K16" i="4"/>
  <c r="K17" i="4" s="1"/>
  <c r="K21" i="3"/>
  <c r="K36" i="4"/>
  <c r="K19" i="4"/>
  <c r="K68" i="3" l="1"/>
  <c r="K66" i="4"/>
  <c r="K67" i="4" s="1"/>
  <c r="L30" i="3"/>
  <c r="K47" i="3"/>
  <c r="L7" i="3"/>
  <c r="K24" i="3"/>
  <c r="K44" i="4"/>
  <c r="K21" i="4"/>
  <c r="K22" i="4" s="1"/>
  <c r="L5" i="4" s="1"/>
  <c r="L54" i="3" l="1"/>
  <c r="K71" i="3"/>
  <c r="K69" i="4"/>
  <c r="L38" i="4"/>
  <c r="L39" i="4"/>
  <c r="L41" i="6" s="1"/>
  <c r="L36" i="3"/>
  <c r="L34" i="3"/>
  <c r="L32" i="3"/>
  <c r="L31" i="4" s="1"/>
  <c r="L14" i="4"/>
  <c r="L18" i="6" s="1"/>
  <c r="L13" i="4"/>
  <c r="L11" i="3"/>
  <c r="L13" i="3"/>
  <c r="L9" i="3"/>
  <c r="L6" i="4" s="1"/>
  <c r="K46" i="4"/>
  <c r="K47" i="4" s="1"/>
  <c r="L30" i="4" s="1"/>
  <c r="K23" i="4"/>
  <c r="K8" i="5"/>
  <c r="K15" i="5"/>
  <c r="K24" i="4"/>
  <c r="K25" i="4"/>
  <c r="L64" i="4" l="1"/>
  <c r="L65" i="6" s="1"/>
  <c r="L63" i="4"/>
  <c r="L60" i="3"/>
  <c r="L58" i="3"/>
  <c r="L56" i="3"/>
  <c r="L56" i="4" s="1"/>
  <c r="K71" i="4"/>
  <c r="K72" i="4" s="1"/>
  <c r="L55" i="4" s="1"/>
  <c r="L40" i="6"/>
  <c r="L38" i="3"/>
  <c r="L33" i="4" s="1"/>
  <c r="L39" i="3"/>
  <c r="L32" i="4"/>
  <c r="L36" i="4" s="1"/>
  <c r="L41" i="3"/>
  <c r="L43" i="3" s="1"/>
  <c r="L17" i="6"/>
  <c r="L7" i="4"/>
  <c r="L15" i="3"/>
  <c r="K48" i="4"/>
  <c r="K49" i="4"/>
  <c r="K50" i="4"/>
  <c r="K32" i="5"/>
  <c r="K40" i="5"/>
  <c r="K9" i="5"/>
  <c r="K10" i="5" s="1"/>
  <c r="L42" i="7"/>
  <c r="L45" i="7" s="1"/>
  <c r="K16" i="5"/>
  <c r="K17" i="5" s="1"/>
  <c r="K20" i="6"/>
  <c r="K21" i="6" s="1"/>
  <c r="K22" i="6" s="1"/>
  <c r="L64" i="6" l="1"/>
  <c r="L62" i="3"/>
  <c r="L58" i="4" s="1"/>
  <c r="L63" i="3"/>
  <c r="M64" i="3" s="1"/>
  <c r="L65" i="3"/>
  <c r="L67" i="3" s="1"/>
  <c r="L57" i="4"/>
  <c r="L61" i="4" s="1"/>
  <c r="K73" i="4"/>
  <c r="K74" i="4"/>
  <c r="K75" i="4"/>
  <c r="K58" i="5"/>
  <c r="K59" i="5" s="1"/>
  <c r="K60" i="5" s="1"/>
  <c r="K66" i="5"/>
  <c r="L44" i="3"/>
  <c r="L41" i="4"/>
  <c r="L42" i="4" s="1"/>
  <c r="K33" i="5"/>
  <c r="K34" i="5" s="1"/>
  <c r="L77" i="7"/>
  <c r="L80" i="7" s="1"/>
  <c r="K41" i="5"/>
  <c r="K42" i="5" s="1"/>
  <c r="K43" i="6"/>
  <c r="K44" i="6" s="1"/>
  <c r="K45" i="6" s="1"/>
  <c r="L8" i="4"/>
  <c r="L11" i="4" s="1"/>
  <c r="L18" i="3"/>
  <c r="L20" i="3" s="1"/>
  <c r="L16" i="3"/>
  <c r="L68" i="3" l="1"/>
  <c r="L66" i="4"/>
  <c r="L67" i="4" s="1"/>
  <c r="K67" i="5"/>
  <c r="K68" i="5" s="1"/>
  <c r="K67" i="6"/>
  <c r="K68" i="6" s="1"/>
  <c r="K69" i="6" s="1"/>
  <c r="M30" i="3"/>
  <c r="L47" i="3"/>
  <c r="L44" i="4"/>
  <c r="L16" i="4"/>
  <c r="L17" i="4" s="1"/>
  <c r="L21" i="3"/>
  <c r="M54" i="3" l="1"/>
  <c r="L71" i="3"/>
  <c r="L69" i="4"/>
  <c r="M39" i="4"/>
  <c r="M41" i="6" s="1"/>
  <c r="M38" i="4"/>
  <c r="M36" i="3"/>
  <c r="M34" i="3"/>
  <c r="M32" i="3"/>
  <c r="M31" i="4" s="1"/>
  <c r="L46" i="4"/>
  <c r="L47" i="4" s="1"/>
  <c r="M30" i="4" s="1"/>
  <c r="M7" i="3"/>
  <c r="L24" i="3"/>
  <c r="L19" i="4"/>
  <c r="M64" i="4" l="1"/>
  <c r="M65" i="6" s="1"/>
  <c r="M63" i="4"/>
  <c r="M60" i="3"/>
  <c r="M58" i="3"/>
  <c r="M56" i="3"/>
  <c r="M56" i="4" s="1"/>
  <c r="L71" i="4"/>
  <c r="L72" i="4" s="1"/>
  <c r="M55" i="4" s="1"/>
  <c r="M40" i="6"/>
  <c r="M38" i="3"/>
  <c r="M32" i="4"/>
  <c r="L48" i="4"/>
  <c r="L49" i="4"/>
  <c r="L50" i="4"/>
  <c r="L32" i="5"/>
  <c r="L40" i="5"/>
  <c r="M11" i="3"/>
  <c r="M14" i="4"/>
  <c r="M18" i="6" s="1"/>
  <c r="M13" i="4"/>
  <c r="M13" i="3"/>
  <c r="M9" i="3"/>
  <c r="M6" i="4" s="1"/>
  <c r="L21" i="4"/>
  <c r="L22" i="4"/>
  <c r="M5" i="4" s="1"/>
  <c r="M64" i="6" l="1"/>
  <c r="M62" i="3"/>
  <c r="M58" i="4" s="1"/>
  <c r="M63" i="3"/>
  <c r="N64" i="3" s="1"/>
  <c r="M57" i="4"/>
  <c r="M61" i="4" s="1"/>
  <c r="M65" i="3"/>
  <c r="M67" i="3" s="1"/>
  <c r="L73" i="4"/>
  <c r="L74" i="4"/>
  <c r="L75" i="4"/>
  <c r="L66" i="5"/>
  <c r="L58" i="5"/>
  <c r="L59" i="5" s="1"/>
  <c r="L60" i="5" s="1"/>
  <c r="L33" i="5"/>
  <c r="L34" i="5" s="1"/>
  <c r="M77" i="7"/>
  <c r="M80" i="7" s="1"/>
  <c r="L41" i="5"/>
  <c r="L42" i="5" s="1"/>
  <c r="L43" i="6"/>
  <c r="L44" i="6" s="1"/>
  <c r="L45" i="6" s="1"/>
  <c r="M7" i="4"/>
  <c r="M17" i="6"/>
  <c r="M15" i="3"/>
  <c r="L23" i="4"/>
  <c r="L25" i="4"/>
  <c r="L24" i="4"/>
  <c r="L8" i="5"/>
  <c r="L15" i="5"/>
  <c r="M33" i="4"/>
  <c r="M36" i="4" s="1"/>
  <c r="M39" i="3"/>
  <c r="M41" i="3"/>
  <c r="M43" i="3" s="1"/>
  <c r="M68" i="3" l="1"/>
  <c r="M66" i="4"/>
  <c r="M67" i="4" s="1"/>
  <c r="L67" i="5"/>
  <c r="L68" i="5" s="1"/>
  <c r="L67" i="6"/>
  <c r="L68" i="6" s="1"/>
  <c r="L69" i="6" s="1"/>
  <c r="L9" i="5"/>
  <c r="L10" i="5" s="1"/>
  <c r="M42" i="7"/>
  <c r="M45" i="7" s="1"/>
  <c r="L16" i="5"/>
  <c r="L17" i="5" s="1"/>
  <c r="L20" i="6"/>
  <c r="L21" i="6" s="1"/>
  <c r="L22" i="6" s="1"/>
  <c r="M41" i="4"/>
  <c r="M42" i="4" s="1"/>
  <c r="M44" i="3"/>
  <c r="M8" i="4"/>
  <c r="M11" i="4" s="1"/>
  <c r="M18" i="3"/>
  <c r="M20" i="3" s="1"/>
  <c r="M16" i="3"/>
  <c r="N54" i="3" l="1"/>
  <c r="M71" i="3"/>
  <c r="M69" i="4"/>
  <c r="N30" i="3"/>
  <c r="M47" i="3"/>
  <c r="M16" i="4"/>
  <c r="M17" i="4" s="1"/>
  <c r="M21" i="3"/>
  <c r="M44" i="4"/>
  <c r="N64" i="4" l="1"/>
  <c r="N65" i="6" s="1"/>
  <c r="N63" i="4"/>
  <c r="N60" i="3"/>
  <c r="N58" i="3"/>
  <c r="N56" i="3"/>
  <c r="N56" i="4" s="1"/>
  <c r="M71" i="4"/>
  <c r="M72" i="4" s="1"/>
  <c r="N55" i="4" s="1"/>
  <c r="N39" i="4"/>
  <c r="N41" i="6" s="1"/>
  <c r="N38" i="4"/>
  <c r="N36" i="3"/>
  <c r="N34" i="3"/>
  <c r="N32" i="3"/>
  <c r="N31" i="4" s="1"/>
  <c r="M24" i="3"/>
  <c r="N7" i="3"/>
  <c r="M46" i="4"/>
  <c r="M47" i="4" s="1"/>
  <c r="N30" i="4" s="1"/>
  <c r="M19" i="4"/>
  <c r="N64" i="6" l="1"/>
  <c r="N62" i="3"/>
  <c r="N58" i="4" s="1"/>
  <c r="N63" i="3"/>
  <c r="O64" i="3" s="1"/>
  <c r="N65" i="3"/>
  <c r="N67" i="3" s="1"/>
  <c r="N57" i="4"/>
  <c r="N61" i="4" s="1"/>
  <c r="M73" i="4"/>
  <c r="M74" i="4"/>
  <c r="M75" i="4"/>
  <c r="M58" i="5"/>
  <c r="M59" i="5" s="1"/>
  <c r="M60" i="5" s="1"/>
  <c r="M66" i="5"/>
  <c r="N40" i="6"/>
  <c r="N38" i="3"/>
  <c r="N33" i="4" s="1"/>
  <c r="N39" i="3"/>
  <c r="N32" i="4"/>
  <c r="N36" i="4" s="1"/>
  <c r="N41" i="3"/>
  <c r="N43" i="3" s="1"/>
  <c r="N14" i="4"/>
  <c r="N18" i="6" s="1"/>
  <c r="N13" i="4"/>
  <c r="N11" i="3"/>
  <c r="N13" i="3"/>
  <c r="N9" i="3"/>
  <c r="N6" i="4" s="1"/>
  <c r="M48" i="4"/>
  <c r="M49" i="4"/>
  <c r="M50" i="4"/>
  <c r="M32" i="5"/>
  <c r="M40" i="5"/>
  <c r="M21" i="4"/>
  <c r="M22" i="4" s="1"/>
  <c r="N5" i="4" s="1"/>
  <c r="N68" i="3" l="1"/>
  <c r="N66" i="4"/>
  <c r="N67" i="4" s="1"/>
  <c r="M67" i="5"/>
  <c r="M68" i="5" s="1"/>
  <c r="M67" i="6"/>
  <c r="M68" i="6" s="1"/>
  <c r="M69" i="6" s="1"/>
  <c r="N44" i="3"/>
  <c r="N41" i="4"/>
  <c r="N42" i="4" s="1"/>
  <c r="N17" i="6"/>
  <c r="N7" i="4"/>
  <c r="N15" i="3"/>
  <c r="M33" i="5"/>
  <c r="M34" i="5" s="1"/>
  <c r="N77" i="7"/>
  <c r="N80" i="7" s="1"/>
  <c r="M41" i="5"/>
  <c r="M42" i="5" s="1"/>
  <c r="M43" i="6"/>
  <c r="M44" i="6" s="1"/>
  <c r="M45" i="6" s="1"/>
  <c r="M23" i="4"/>
  <c r="M8" i="5"/>
  <c r="M15" i="5"/>
  <c r="M24" i="4"/>
  <c r="M25" i="4"/>
  <c r="O54" i="3" l="1"/>
  <c r="N71" i="3"/>
  <c r="N69" i="4"/>
  <c r="O30" i="3"/>
  <c r="E63" i="7"/>
  <c r="N47" i="3"/>
  <c r="N44" i="4"/>
  <c r="M9" i="5"/>
  <c r="M10" i="5" s="1"/>
  <c r="N42" i="7"/>
  <c r="N45" i="7" s="1"/>
  <c r="M16" i="5"/>
  <c r="M17" i="5" s="1"/>
  <c r="M20" i="6"/>
  <c r="M21" i="6" s="1"/>
  <c r="M22" i="6" s="1"/>
  <c r="N8" i="4"/>
  <c r="N11" i="4" s="1"/>
  <c r="N16" i="3"/>
  <c r="N18" i="3"/>
  <c r="N20" i="3" s="1"/>
  <c r="O64" i="4" l="1"/>
  <c r="O65" i="6" s="1"/>
  <c r="O63" i="4"/>
  <c r="O60" i="3"/>
  <c r="O58" i="3"/>
  <c r="O56" i="3"/>
  <c r="O56" i="4" s="1"/>
  <c r="N71" i="4"/>
  <c r="N72" i="4" s="1"/>
  <c r="O55" i="4" s="1"/>
  <c r="O32" i="3"/>
  <c r="O31" i="4" s="1"/>
  <c r="O34" i="3"/>
  <c r="O36" i="3"/>
  <c r="O39" i="4"/>
  <c r="O41" i="6" s="1"/>
  <c r="O38" i="4"/>
  <c r="N46" i="4"/>
  <c r="N47" i="4" s="1"/>
  <c r="N19" i="4"/>
  <c r="N16" i="4"/>
  <c r="N17" i="4" s="1"/>
  <c r="N21" i="3"/>
  <c r="O64" i="6" l="1"/>
  <c r="O62" i="3"/>
  <c r="O58" i="4" s="1"/>
  <c r="O63" i="3"/>
  <c r="P64" i="3" s="1"/>
  <c r="O57" i="4"/>
  <c r="O61" i="4" s="1"/>
  <c r="O65" i="3"/>
  <c r="O67" i="3" s="1"/>
  <c r="N73" i="4"/>
  <c r="N74" i="4"/>
  <c r="N75" i="4"/>
  <c r="N66" i="5"/>
  <c r="N58" i="5"/>
  <c r="N59" i="5" s="1"/>
  <c r="N60" i="5" s="1"/>
  <c r="O32" i="4"/>
  <c r="O41" i="3"/>
  <c r="O43" i="3" s="1"/>
  <c r="O38" i="3"/>
  <c r="O33" i="4" s="1"/>
  <c r="O39" i="3"/>
  <c r="O40" i="6"/>
  <c r="E64" i="7"/>
  <c r="E66" i="7" s="1"/>
  <c r="E67" i="7" s="1"/>
  <c r="O78" i="7" s="1"/>
  <c r="O30" i="4"/>
  <c r="N48" i="4"/>
  <c r="N49" i="4"/>
  <c r="N50" i="4"/>
  <c r="N32" i="5"/>
  <c r="N40" i="5"/>
  <c r="N21" i="4"/>
  <c r="N22" i="4" s="1"/>
  <c r="O7" i="3"/>
  <c r="E29" i="7"/>
  <c r="N24" i="3"/>
  <c r="O68" i="3" l="1"/>
  <c r="O66" i="4"/>
  <c r="O67" i="4" s="1"/>
  <c r="N67" i="5"/>
  <c r="N68" i="5" s="1"/>
  <c r="N67" i="6"/>
  <c r="N68" i="6" s="1"/>
  <c r="N69" i="6" s="1"/>
  <c r="O44" i="3"/>
  <c r="O41" i="4"/>
  <c r="O42" i="4" s="1"/>
  <c r="N33" i="5"/>
  <c r="N34" i="5" s="1"/>
  <c r="O77" i="7"/>
  <c r="O80" i="7" s="1"/>
  <c r="E68" i="7" s="1"/>
  <c r="N41" i="5"/>
  <c r="N42" i="5" s="1"/>
  <c r="N43" i="6"/>
  <c r="N44" i="6" s="1"/>
  <c r="N45" i="6" s="1"/>
  <c r="O5" i="4"/>
  <c r="E30" i="7"/>
  <c r="E32" i="7" s="1"/>
  <c r="E33" i="7" s="1"/>
  <c r="O43" i="7" s="1"/>
  <c r="N23" i="4"/>
  <c r="N8" i="5"/>
  <c r="N15" i="5"/>
  <c r="N25" i="4"/>
  <c r="N24" i="4"/>
  <c r="O9" i="3"/>
  <c r="O6" i="4" s="1"/>
  <c r="O13" i="3"/>
  <c r="O14" i="4"/>
  <c r="O18" i="6" s="1"/>
  <c r="O13" i="4"/>
  <c r="O11" i="3"/>
  <c r="O36" i="4"/>
  <c r="P54" i="3" l="1"/>
  <c r="O71" i="3"/>
  <c r="O69" i="4"/>
  <c r="O47" i="3"/>
  <c r="P30" i="3"/>
  <c r="D10" i="7"/>
  <c r="D11" i="7" s="1"/>
  <c r="M64" i="7"/>
  <c r="N64" i="7" s="1"/>
  <c r="N9" i="5"/>
  <c r="N10" i="5" s="1"/>
  <c r="O42" i="7"/>
  <c r="O45" i="7" s="1"/>
  <c r="E34" i="7" s="1"/>
  <c r="C10" i="7" s="1"/>
  <c r="N16" i="5"/>
  <c r="N17" i="5" s="1"/>
  <c r="N20" i="6"/>
  <c r="N21" i="6" s="1"/>
  <c r="N22" i="6" s="1"/>
  <c r="O15" i="3"/>
  <c r="O17" i="6"/>
  <c r="O7" i="4"/>
  <c r="O11" i="4" s="1"/>
  <c r="O44" i="4"/>
  <c r="P64" i="4" l="1"/>
  <c r="P65" i="6" s="1"/>
  <c r="P63" i="4"/>
  <c r="P60" i="3"/>
  <c r="P58" i="3"/>
  <c r="P56" i="3"/>
  <c r="P56" i="4" s="1"/>
  <c r="O71" i="4"/>
  <c r="O72" i="4" s="1"/>
  <c r="P55" i="4" s="1"/>
  <c r="P39" i="4"/>
  <c r="P41" i="6" s="1"/>
  <c r="P38" i="4"/>
  <c r="P36" i="3"/>
  <c r="P34" i="3"/>
  <c r="P32" i="3"/>
  <c r="P31" i="4" s="1"/>
  <c r="X17" i="3"/>
  <c r="W17" i="3"/>
  <c r="V17" i="3"/>
  <c r="U17" i="3"/>
  <c r="T17" i="3"/>
  <c r="S17" i="3"/>
  <c r="R17" i="3"/>
  <c r="Q17" i="3"/>
  <c r="P17" i="3"/>
  <c r="O17" i="3"/>
  <c r="O18" i="3" s="1"/>
  <c r="O20" i="3" s="1"/>
  <c r="O21" i="3" s="1"/>
  <c r="C11" i="7"/>
  <c r="O16" i="4"/>
  <c r="O17" i="4" s="1"/>
  <c r="O19" i="4" s="1"/>
  <c r="O46" i="4"/>
  <c r="O47" i="4" s="1"/>
  <c r="P30" i="4" s="1"/>
  <c r="O8" i="4"/>
  <c r="O16" i="3"/>
  <c r="P64" i="6" l="1"/>
  <c r="P62" i="3"/>
  <c r="P57" i="4"/>
  <c r="O73" i="4"/>
  <c r="O74" i="4"/>
  <c r="O75" i="4"/>
  <c r="O58" i="5"/>
  <c r="O59" i="5" s="1"/>
  <c r="O60" i="5" s="1"/>
  <c r="O66" i="5"/>
  <c r="P40" i="6"/>
  <c r="P38" i="3"/>
  <c r="P33" i="4" s="1"/>
  <c r="P39" i="3"/>
  <c r="P41" i="3"/>
  <c r="P43" i="3" s="1"/>
  <c r="P32" i="4"/>
  <c r="P36" i="4" s="1"/>
  <c r="P7" i="3"/>
  <c r="O24" i="3"/>
  <c r="O48" i="4"/>
  <c r="O49" i="4"/>
  <c r="O50" i="4"/>
  <c r="O32" i="5"/>
  <c r="O33" i="5" s="1"/>
  <c r="O34" i="5" s="1"/>
  <c r="O40" i="5"/>
  <c r="O21" i="4"/>
  <c r="O22" i="4" s="1"/>
  <c r="P5" i="4" s="1"/>
  <c r="O67" i="5" l="1"/>
  <c r="O68" i="5" s="1"/>
  <c r="O67" i="6"/>
  <c r="O68" i="6" s="1"/>
  <c r="O69" i="6" s="1"/>
  <c r="P44" i="3"/>
  <c r="P41" i="4"/>
  <c r="P42" i="4" s="1"/>
  <c r="P14" i="4"/>
  <c r="P18" i="6" s="1"/>
  <c r="P13" i="4"/>
  <c r="P11" i="3"/>
  <c r="P13" i="3"/>
  <c r="P9" i="3"/>
  <c r="P6" i="4" s="1"/>
  <c r="O41" i="5"/>
  <c r="O42" i="5" s="1"/>
  <c r="O43" i="6"/>
  <c r="O44" i="6" s="1"/>
  <c r="O45" i="6" s="1"/>
  <c r="O23" i="4"/>
  <c r="O25" i="4"/>
  <c r="O24" i="4"/>
  <c r="O8" i="5"/>
  <c r="O9" i="5" s="1"/>
  <c r="O10" i="5" s="1"/>
  <c r="O15" i="5"/>
  <c r="P58" i="4"/>
  <c r="P61" i="4" s="1"/>
  <c r="P63" i="3"/>
  <c r="Q64" i="3" s="1"/>
  <c r="P65" i="3"/>
  <c r="P67" i="3" s="1"/>
  <c r="Q30" i="3" l="1"/>
  <c r="P47" i="3"/>
  <c r="P44" i="4"/>
  <c r="P17" i="6"/>
  <c r="P7" i="4"/>
  <c r="P15" i="3"/>
  <c r="O16" i="5"/>
  <c r="O17" i="5" s="1"/>
  <c r="O20" i="6"/>
  <c r="O21" i="6" s="1"/>
  <c r="O22" i="6" s="1"/>
  <c r="P66" i="4"/>
  <c r="P67" i="4" s="1"/>
  <c r="P68" i="3"/>
  <c r="Q38" i="4" l="1"/>
  <c r="Q39" i="4"/>
  <c r="Q41" i="6" s="1"/>
  <c r="Q36" i="3"/>
  <c r="Q34" i="3"/>
  <c r="Q32" i="3"/>
  <c r="Q31" i="4" s="1"/>
  <c r="P46" i="4"/>
  <c r="P47" i="4" s="1"/>
  <c r="Q30" i="4" s="1"/>
  <c r="P71" i="3"/>
  <c r="Q54" i="3"/>
  <c r="P8" i="4"/>
  <c r="P11" i="4" s="1"/>
  <c r="P18" i="3"/>
  <c r="P20" i="3" s="1"/>
  <c r="P16" i="3"/>
  <c r="P69" i="4"/>
  <c r="Q40" i="6" l="1"/>
  <c r="Q38" i="3"/>
  <c r="Q33" i="4" s="1"/>
  <c r="Q39" i="3"/>
  <c r="Q41" i="3"/>
  <c r="Q43" i="3" s="1"/>
  <c r="Q32" i="4"/>
  <c r="P48" i="4"/>
  <c r="P49" i="4"/>
  <c r="P50" i="4"/>
  <c r="P32" i="5"/>
  <c r="P33" i="5" s="1"/>
  <c r="P34" i="5" s="1"/>
  <c r="P40" i="5"/>
  <c r="Q64" i="4"/>
  <c r="Q65" i="6" s="1"/>
  <c r="Q63" i="4"/>
  <c r="Q60" i="3"/>
  <c r="Q58" i="3"/>
  <c r="Q56" i="3"/>
  <c r="Q56" i="4" s="1"/>
  <c r="P16" i="4"/>
  <c r="P17" i="4" s="1"/>
  <c r="P21" i="3"/>
  <c r="P71" i="4"/>
  <c r="P72" i="4" s="1"/>
  <c r="Q55" i="4" s="1"/>
  <c r="Q44" i="3" l="1"/>
  <c r="Q41" i="4"/>
  <c r="Q42" i="4" s="1"/>
  <c r="P41" i="5"/>
  <c r="P42" i="5" s="1"/>
  <c r="P43" i="6"/>
  <c r="P44" i="6" s="1"/>
  <c r="P45" i="6" s="1"/>
  <c r="Q64" i="6"/>
  <c r="Q62" i="3"/>
  <c r="Q58" i="4" s="1"/>
  <c r="Q63" i="3"/>
  <c r="R64" i="3" s="1"/>
  <c r="Q65" i="3"/>
  <c r="Q67" i="3" s="1"/>
  <c r="Q57" i="4"/>
  <c r="Q61" i="4" s="1"/>
  <c r="P24" i="3"/>
  <c r="Q7" i="3"/>
  <c r="P73" i="4"/>
  <c r="P74" i="4"/>
  <c r="P75" i="4"/>
  <c r="P58" i="5"/>
  <c r="P59" i="5" s="1"/>
  <c r="P60" i="5" s="1"/>
  <c r="P66" i="5"/>
  <c r="Q36" i="4"/>
  <c r="P19" i="4"/>
  <c r="R30" i="3" l="1"/>
  <c r="Q47" i="3"/>
  <c r="Q68" i="3"/>
  <c r="Q66" i="4"/>
  <c r="Q67" i="4" s="1"/>
  <c r="Q13" i="3"/>
  <c r="Q11" i="3"/>
  <c r="Q9" i="3"/>
  <c r="Q6" i="4" s="1"/>
  <c r="Q14" i="4"/>
  <c r="Q18" i="6" s="1"/>
  <c r="Q13" i="4"/>
  <c r="P67" i="5"/>
  <c r="P68" i="5" s="1"/>
  <c r="P67" i="6"/>
  <c r="P68" i="6" s="1"/>
  <c r="P69" i="6" s="1"/>
  <c r="Q44" i="4"/>
  <c r="P21" i="4"/>
  <c r="P22" i="4"/>
  <c r="Q5" i="4" s="1"/>
  <c r="R39" i="4" l="1"/>
  <c r="R41" i="6" s="1"/>
  <c r="R38" i="4"/>
  <c r="R36" i="3"/>
  <c r="R34" i="3"/>
  <c r="R32" i="3"/>
  <c r="R31" i="4" s="1"/>
  <c r="R54" i="3"/>
  <c r="Q71" i="3"/>
  <c r="Q15" i="3"/>
  <c r="Q8" i="4" s="1"/>
  <c r="Q16" i="3"/>
  <c r="Q18" i="3"/>
  <c r="Q20" i="3" s="1"/>
  <c r="Q7" i="4"/>
  <c r="Q11" i="4" s="1"/>
  <c r="Q17" i="6"/>
  <c r="Q46" i="4"/>
  <c r="Q47" i="4" s="1"/>
  <c r="R30" i="4" s="1"/>
  <c r="P23" i="4"/>
  <c r="P24" i="4"/>
  <c r="P25" i="4"/>
  <c r="P8" i="5"/>
  <c r="P9" i="5" s="1"/>
  <c r="P10" i="5" s="1"/>
  <c r="P15" i="5"/>
  <c r="Q69" i="4"/>
  <c r="R40" i="6" l="1"/>
  <c r="R38" i="3"/>
  <c r="R33" i="4" s="1"/>
  <c r="R39" i="3"/>
  <c r="R32" i="4"/>
  <c r="R36" i="4" s="1"/>
  <c r="R41" i="3"/>
  <c r="R43" i="3" s="1"/>
  <c r="R64" i="4"/>
  <c r="R65" i="6" s="1"/>
  <c r="R63" i="4"/>
  <c r="R60" i="3"/>
  <c r="R58" i="3"/>
  <c r="R56" i="3"/>
  <c r="R56" i="4" s="1"/>
  <c r="Q21" i="3"/>
  <c r="Q16" i="4"/>
  <c r="Q17" i="4" s="1"/>
  <c r="Q48" i="4"/>
  <c r="Q49" i="4"/>
  <c r="Q50" i="4"/>
  <c r="Q32" i="5"/>
  <c r="Q33" i="5" s="1"/>
  <c r="Q34" i="5" s="1"/>
  <c r="Q40" i="5"/>
  <c r="P16" i="5"/>
  <c r="P17" i="5" s="1"/>
  <c r="P20" i="6"/>
  <c r="P21" i="6" s="1"/>
  <c r="P22" i="6" s="1"/>
  <c r="Q71" i="4"/>
  <c r="Q72" i="4"/>
  <c r="R55" i="4" s="1"/>
  <c r="R44" i="3" l="1"/>
  <c r="R41" i="4"/>
  <c r="R42" i="4" s="1"/>
  <c r="R64" i="6"/>
  <c r="R62" i="3"/>
  <c r="R63" i="3"/>
  <c r="S64" i="3" s="1"/>
  <c r="R57" i="4"/>
  <c r="Q24" i="3"/>
  <c r="R7" i="3"/>
  <c r="Q19" i="4"/>
  <c r="Q41" i="5"/>
  <c r="Q42" i="5" s="1"/>
  <c r="Q43" i="6"/>
  <c r="Q44" i="6" s="1"/>
  <c r="Q45" i="6" s="1"/>
  <c r="Q73" i="4"/>
  <c r="Q74" i="4"/>
  <c r="Q75" i="4"/>
  <c r="Q58" i="5"/>
  <c r="Q59" i="5" s="1"/>
  <c r="Q60" i="5" s="1"/>
  <c r="Q66" i="5"/>
  <c r="R44" i="4"/>
  <c r="S30" i="3" l="1"/>
  <c r="R47" i="3"/>
  <c r="R13" i="4"/>
  <c r="R14" i="4"/>
  <c r="R18" i="6" s="1"/>
  <c r="R13" i="3"/>
  <c r="R11" i="3"/>
  <c r="R9" i="3"/>
  <c r="R6" i="4" s="1"/>
  <c r="Q21" i="4"/>
  <c r="Q22" i="4" s="1"/>
  <c r="R5" i="4" s="1"/>
  <c r="Q67" i="5"/>
  <c r="Q68" i="5" s="1"/>
  <c r="Q67" i="6"/>
  <c r="Q68" i="6" s="1"/>
  <c r="Q69" i="6" s="1"/>
  <c r="R47" i="4"/>
  <c r="S30" i="4" s="1"/>
  <c r="R46" i="4"/>
  <c r="R58" i="4"/>
  <c r="R61" i="4" s="1"/>
  <c r="R65" i="3"/>
  <c r="R67" i="3" s="1"/>
  <c r="S38" i="4" l="1"/>
  <c r="S39" i="4"/>
  <c r="S41" i="6" s="1"/>
  <c r="S36" i="3"/>
  <c r="S34" i="3"/>
  <c r="S32" i="3"/>
  <c r="S31" i="4" s="1"/>
  <c r="R17" i="6"/>
  <c r="R15" i="3"/>
  <c r="R7" i="4"/>
  <c r="Q23" i="4"/>
  <c r="Q8" i="5"/>
  <c r="Q9" i="5" s="1"/>
  <c r="Q10" i="5" s="1"/>
  <c r="Q15" i="5"/>
  <c r="Q24" i="4"/>
  <c r="Q25" i="4"/>
  <c r="R48" i="4"/>
  <c r="R49" i="4"/>
  <c r="R50" i="4"/>
  <c r="R32" i="5"/>
  <c r="R33" i="5" s="1"/>
  <c r="R34" i="5" s="1"/>
  <c r="R40" i="5"/>
  <c r="R66" i="4"/>
  <c r="R67" i="4" s="1"/>
  <c r="R68" i="3"/>
  <c r="S40" i="6" l="1"/>
  <c r="S38" i="3"/>
  <c r="S33" i="4" s="1"/>
  <c r="S39" i="3"/>
  <c r="S32" i="4"/>
  <c r="S36" i="4" s="1"/>
  <c r="S41" i="3"/>
  <c r="S43" i="3" s="1"/>
  <c r="Q16" i="5"/>
  <c r="Q17" i="5" s="1"/>
  <c r="Q20" i="6"/>
  <c r="Q21" i="6" s="1"/>
  <c r="Q22" i="6" s="1"/>
  <c r="R41" i="5"/>
  <c r="R42" i="5" s="1"/>
  <c r="R43" i="6"/>
  <c r="R44" i="6" s="1"/>
  <c r="R45" i="6" s="1"/>
  <c r="S54" i="3"/>
  <c r="R71" i="3"/>
  <c r="R8" i="4"/>
  <c r="R11" i="4" s="1"/>
  <c r="R18" i="3"/>
  <c r="R20" i="3" s="1"/>
  <c r="R16" i="3"/>
  <c r="R69" i="4"/>
  <c r="S44" i="3" l="1"/>
  <c r="S41" i="4"/>
  <c r="S42" i="4" s="1"/>
  <c r="S64" i="4"/>
  <c r="S65" i="6" s="1"/>
  <c r="S63" i="4"/>
  <c r="S60" i="3"/>
  <c r="S58" i="3"/>
  <c r="S56" i="3"/>
  <c r="S56" i="4" s="1"/>
  <c r="R16" i="4"/>
  <c r="R17" i="4" s="1"/>
  <c r="R21" i="3"/>
  <c r="R71" i="4"/>
  <c r="R72" i="4" s="1"/>
  <c r="S55" i="4" s="1"/>
  <c r="T30" i="3" l="1"/>
  <c r="S47" i="3"/>
  <c r="S64" i="6"/>
  <c r="S62" i="3"/>
  <c r="S58" i="4" s="1"/>
  <c r="S63" i="3"/>
  <c r="T64" i="3" s="1"/>
  <c r="S65" i="3"/>
  <c r="S67" i="3" s="1"/>
  <c r="S57" i="4"/>
  <c r="S61" i="4" s="1"/>
  <c r="S7" i="3"/>
  <c r="R24" i="3"/>
  <c r="R73" i="4"/>
  <c r="R74" i="4"/>
  <c r="R75" i="4"/>
  <c r="R58" i="5"/>
  <c r="R59" i="5" s="1"/>
  <c r="R60" i="5" s="1"/>
  <c r="R66" i="5"/>
  <c r="S44" i="4"/>
  <c r="R19" i="4"/>
  <c r="T39" i="4" l="1"/>
  <c r="T41" i="6" s="1"/>
  <c r="T38" i="4"/>
  <c r="T36" i="3"/>
  <c r="T34" i="3"/>
  <c r="T32" i="3"/>
  <c r="T31" i="4" s="1"/>
  <c r="S68" i="3"/>
  <c r="S66" i="4"/>
  <c r="S67" i="4" s="1"/>
  <c r="S11" i="3"/>
  <c r="S9" i="3"/>
  <c r="S6" i="4" s="1"/>
  <c r="S14" i="4"/>
  <c r="S18" i="6" s="1"/>
  <c r="S13" i="4"/>
  <c r="S13" i="3"/>
  <c r="R67" i="5"/>
  <c r="R68" i="5" s="1"/>
  <c r="R67" i="6"/>
  <c r="R68" i="6" s="1"/>
  <c r="R69" i="6" s="1"/>
  <c r="S46" i="4"/>
  <c r="S47" i="4"/>
  <c r="T30" i="4" s="1"/>
  <c r="R21" i="4"/>
  <c r="R22" i="4" s="1"/>
  <c r="S5" i="4" s="1"/>
  <c r="S69" i="4"/>
  <c r="T40" i="6" l="1"/>
  <c r="T38" i="3"/>
  <c r="T41" i="3"/>
  <c r="T43" i="3" s="1"/>
  <c r="T32" i="4"/>
  <c r="T36" i="4" s="1"/>
  <c r="T54" i="3"/>
  <c r="S71" i="3"/>
  <c r="S7" i="4"/>
  <c r="S17" i="6"/>
  <c r="S15" i="3"/>
  <c r="S48" i="4"/>
  <c r="S49" i="4"/>
  <c r="S50" i="4"/>
  <c r="S32" i="5"/>
  <c r="S33" i="5" s="1"/>
  <c r="S34" i="5" s="1"/>
  <c r="S40" i="5"/>
  <c r="R23" i="4"/>
  <c r="R24" i="4"/>
  <c r="R8" i="5"/>
  <c r="R9" i="5" s="1"/>
  <c r="R10" i="5" s="1"/>
  <c r="R15" i="5"/>
  <c r="R25" i="4"/>
  <c r="S71" i="4"/>
  <c r="S72" i="4" s="1"/>
  <c r="T55" i="4" s="1"/>
  <c r="T44" i="3" l="1"/>
  <c r="T41" i="4"/>
  <c r="T42" i="4" s="1"/>
  <c r="T64" i="4"/>
  <c r="T65" i="6" s="1"/>
  <c r="T63" i="4"/>
  <c r="T60" i="3"/>
  <c r="T58" i="3"/>
  <c r="T56" i="3"/>
  <c r="T56" i="4" s="1"/>
  <c r="S41" i="5"/>
  <c r="S42" i="5" s="1"/>
  <c r="S43" i="6"/>
  <c r="S44" i="6" s="1"/>
  <c r="S45" i="6" s="1"/>
  <c r="R16" i="5"/>
  <c r="R17" i="5" s="1"/>
  <c r="R20" i="6"/>
  <c r="R21" i="6" s="1"/>
  <c r="R22" i="6" s="1"/>
  <c r="S73" i="4"/>
  <c r="S74" i="4"/>
  <c r="S75" i="4"/>
  <c r="S58" i="5"/>
  <c r="S59" i="5" s="1"/>
  <c r="S60" i="5" s="1"/>
  <c r="S66" i="5"/>
  <c r="T33" i="4"/>
  <c r="T39" i="3"/>
  <c r="T44" i="4"/>
  <c r="S8" i="4"/>
  <c r="S11" i="4" s="1"/>
  <c r="S16" i="3"/>
  <c r="S18" i="3"/>
  <c r="S20" i="3" s="1"/>
  <c r="U30" i="3" l="1"/>
  <c r="T47" i="3"/>
  <c r="T64" i="6"/>
  <c r="T62" i="3"/>
  <c r="T58" i="4" s="1"/>
  <c r="T63" i="3"/>
  <c r="U64" i="3" s="1"/>
  <c r="T57" i="4"/>
  <c r="T61" i="4" s="1"/>
  <c r="T65" i="3"/>
  <c r="T67" i="3" s="1"/>
  <c r="S67" i="5"/>
  <c r="S68" i="5" s="1"/>
  <c r="S67" i="6"/>
  <c r="S68" i="6" s="1"/>
  <c r="S69" i="6" s="1"/>
  <c r="T46" i="4"/>
  <c r="T47" i="4" s="1"/>
  <c r="U30" i="4" s="1"/>
  <c r="S16" i="4"/>
  <c r="S17" i="4" s="1"/>
  <c r="S21" i="3"/>
  <c r="U39" i="4" l="1"/>
  <c r="U41" i="6" s="1"/>
  <c r="U38" i="4"/>
  <c r="U36" i="3"/>
  <c r="U34" i="3"/>
  <c r="U32" i="3"/>
  <c r="U31" i="4" s="1"/>
  <c r="T68" i="3"/>
  <c r="T66" i="4"/>
  <c r="T67" i="4" s="1"/>
  <c r="T48" i="4"/>
  <c r="T49" i="4"/>
  <c r="T50" i="4"/>
  <c r="T32" i="5"/>
  <c r="T33" i="5" s="1"/>
  <c r="T34" i="5" s="1"/>
  <c r="T40" i="5"/>
  <c r="T7" i="3"/>
  <c r="S24" i="3"/>
  <c r="S19" i="4"/>
  <c r="U40" i="6" l="1"/>
  <c r="U38" i="3"/>
  <c r="U33" i="4" s="1"/>
  <c r="U39" i="3"/>
  <c r="U41" i="3"/>
  <c r="U43" i="3" s="1"/>
  <c r="U32" i="4"/>
  <c r="U36" i="4" s="1"/>
  <c r="U54" i="3"/>
  <c r="T71" i="3"/>
  <c r="T41" i="5"/>
  <c r="T42" i="5" s="1"/>
  <c r="T43" i="6"/>
  <c r="T44" i="6" s="1"/>
  <c r="T45" i="6" s="1"/>
  <c r="T13" i="3"/>
  <c r="T13" i="4"/>
  <c r="T14" i="4"/>
  <c r="T18" i="6" s="1"/>
  <c r="T11" i="3"/>
  <c r="T9" i="3"/>
  <c r="T6" i="4" s="1"/>
  <c r="S21" i="4"/>
  <c r="S22" i="4" s="1"/>
  <c r="T5" i="4" s="1"/>
  <c r="T69" i="4"/>
  <c r="U44" i="3" l="1"/>
  <c r="U41" i="4"/>
  <c r="U42" i="4" s="1"/>
  <c r="U64" i="4"/>
  <c r="U65" i="6" s="1"/>
  <c r="U63" i="4"/>
  <c r="U60" i="3"/>
  <c r="U58" i="3"/>
  <c r="U56" i="3"/>
  <c r="U56" i="4" s="1"/>
  <c r="T15" i="3"/>
  <c r="T8" i="4" s="1"/>
  <c r="T16" i="3"/>
  <c r="T17" i="6"/>
  <c r="T18" i="3"/>
  <c r="T20" i="3" s="1"/>
  <c r="T7" i="4"/>
  <c r="T11" i="4" s="1"/>
  <c r="S23" i="4"/>
  <c r="S25" i="4"/>
  <c r="S24" i="4"/>
  <c r="S8" i="5"/>
  <c r="S9" i="5" s="1"/>
  <c r="S10" i="5" s="1"/>
  <c r="S15" i="5"/>
  <c r="T71" i="4"/>
  <c r="T72" i="4"/>
  <c r="U55" i="4" s="1"/>
  <c r="V30" i="3" l="1"/>
  <c r="U47" i="3"/>
  <c r="U64" i="6"/>
  <c r="U62" i="3"/>
  <c r="U57" i="4"/>
  <c r="T21" i="3"/>
  <c r="T16" i="4"/>
  <c r="T17" i="4" s="1"/>
  <c r="S16" i="5"/>
  <c r="S17" i="5" s="1"/>
  <c r="S20" i="6"/>
  <c r="S21" i="6" s="1"/>
  <c r="S22" i="6" s="1"/>
  <c r="T73" i="4"/>
  <c r="T74" i="4"/>
  <c r="T75" i="4"/>
  <c r="T58" i="5"/>
  <c r="T59" i="5" s="1"/>
  <c r="T60" i="5" s="1"/>
  <c r="T66" i="5"/>
  <c r="U44" i="4"/>
  <c r="T19" i="4"/>
  <c r="V39" i="4" l="1"/>
  <c r="V41" i="6" s="1"/>
  <c r="V38" i="4"/>
  <c r="V36" i="3"/>
  <c r="V34" i="3"/>
  <c r="V32" i="3"/>
  <c r="V31" i="4" s="1"/>
  <c r="U7" i="3"/>
  <c r="T24" i="3"/>
  <c r="T67" i="5"/>
  <c r="T68" i="5" s="1"/>
  <c r="T67" i="6"/>
  <c r="T68" i="6" s="1"/>
  <c r="T69" i="6" s="1"/>
  <c r="U46" i="4"/>
  <c r="U47" i="4" s="1"/>
  <c r="V30" i="4" s="1"/>
  <c r="T22" i="4"/>
  <c r="U5" i="4" s="1"/>
  <c r="T21" i="4"/>
  <c r="U58" i="4"/>
  <c r="U61" i="4" s="1"/>
  <c r="U65" i="3"/>
  <c r="U67" i="3" s="1"/>
  <c r="U63" i="3"/>
  <c r="V64" i="3" s="1"/>
  <c r="V40" i="6" l="1"/>
  <c r="V38" i="3"/>
  <c r="V33" i="4" s="1"/>
  <c r="V39" i="3"/>
  <c r="V32" i="4"/>
  <c r="V36" i="4" s="1"/>
  <c r="V41" i="3"/>
  <c r="V43" i="3" s="1"/>
  <c r="U13" i="3"/>
  <c r="U11" i="3"/>
  <c r="U9" i="3"/>
  <c r="U6" i="4" s="1"/>
  <c r="U13" i="4"/>
  <c r="U14" i="4"/>
  <c r="U18" i="6" s="1"/>
  <c r="U48" i="4"/>
  <c r="U49" i="4"/>
  <c r="U50" i="4"/>
  <c r="U32" i="5"/>
  <c r="U33" i="5" s="1"/>
  <c r="U34" i="5" s="1"/>
  <c r="U40" i="5"/>
  <c r="T23" i="4"/>
  <c r="T24" i="4"/>
  <c r="T8" i="5"/>
  <c r="T9" i="5" s="1"/>
  <c r="T10" i="5" s="1"/>
  <c r="T15" i="5"/>
  <c r="T25" i="4"/>
  <c r="U66" i="4"/>
  <c r="U67" i="4" s="1"/>
  <c r="U68" i="3"/>
  <c r="V44" i="3" l="1"/>
  <c r="V41" i="4"/>
  <c r="V42" i="4" s="1"/>
  <c r="U15" i="3"/>
  <c r="U7" i="4"/>
  <c r="U17" i="6"/>
  <c r="U41" i="5"/>
  <c r="U42" i="5" s="1"/>
  <c r="U43" i="6"/>
  <c r="U44" i="6" s="1"/>
  <c r="U45" i="6" s="1"/>
  <c r="T16" i="5"/>
  <c r="T17" i="5" s="1"/>
  <c r="T20" i="6"/>
  <c r="T21" i="6" s="1"/>
  <c r="T22" i="6" s="1"/>
  <c r="U71" i="3"/>
  <c r="V54" i="3"/>
  <c r="U69" i="4"/>
  <c r="W30" i="3" l="1"/>
  <c r="V47" i="3"/>
  <c r="V44" i="4"/>
  <c r="V64" i="4"/>
  <c r="V65" i="6" s="1"/>
  <c r="V63" i="4"/>
  <c r="V60" i="3"/>
  <c r="V58" i="3"/>
  <c r="V56" i="3"/>
  <c r="V56" i="4" s="1"/>
  <c r="U71" i="4"/>
  <c r="U72" i="4" s="1"/>
  <c r="V55" i="4" s="1"/>
  <c r="U8" i="4"/>
  <c r="U11" i="4" s="1"/>
  <c r="U16" i="3"/>
  <c r="U18" i="3"/>
  <c r="U20" i="3" s="1"/>
  <c r="W39" i="4" l="1"/>
  <c r="W41" i="6" s="1"/>
  <c r="W38" i="4"/>
  <c r="W36" i="3"/>
  <c r="W34" i="3"/>
  <c r="W32" i="3"/>
  <c r="W31" i="4" s="1"/>
  <c r="V46" i="4"/>
  <c r="V47" i="4" s="1"/>
  <c r="W30" i="4" s="1"/>
  <c r="V64" i="6"/>
  <c r="V62" i="3"/>
  <c r="V57" i="4"/>
  <c r="U73" i="4"/>
  <c r="U74" i="4"/>
  <c r="U75" i="4"/>
  <c r="U58" i="5"/>
  <c r="U59" i="5" s="1"/>
  <c r="U60" i="5" s="1"/>
  <c r="U66" i="5"/>
  <c r="U16" i="4"/>
  <c r="U17" i="4" s="1"/>
  <c r="U21" i="3"/>
  <c r="W40" i="6" l="1"/>
  <c r="W38" i="3"/>
  <c r="W33" i="4" s="1"/>
  <c r="W39" i="3"/>
  <c r="W41" i="3"/>
  <c r="W43" i="3" s="1"/>
  <c r="W32" i="4"/>
  <c r="W36" i="4" s="1"/>
  <c r="V48" i="4"/>
  <c r="V49" i="4"/>
  <c r="V50" i="4"/>
  <c r="V32" i="5"/>
  <c r="V33" i="5" s="1"/>
  <c r="V34" i="5" s="1"/>
  <c r="V40" i="5"/>
  <c r="U67" i="5"/>
  <c r="U68" i="5" s="1"/>
  <c r="U67" i="6"/>
  <c r="U68" i="6" s="1"/>
  <c r="U69" i="6" s="1"/>
  <c r="U24" i="3"/>
  <c r="V7" i="3"/>
  <c r="V58" i="4"/>
  <c r="V61" i="4" s="1"/>
  <c r="V63" i="3"/>
  <c r="W64" i="3" s="1"/>
  <c r="V65" i="3"/>
  <c r="V67" i="3" s="1"/>
  <c r="U19" i="4"/>
  <c r="W44" i="3" l="1"/>
  <c r="W41" i="4"/>
  <c r="W42" i="4" s="1"/>
  <c r="V41" i="5"/>
  <c r="V42" i="5" s="1"/>
  <c r="V43" i="6"/>
  <c r="V44" i="6" s="1"/>
  <c r="V45" i="6" s="1"/>
  <c r="V13" i="4"/>
  <c r="V14" i="4"/>
  <c r="V18" i="6" s="1"/>
  <c r="V13" i="3"/>
  <c r="V11" i="3"/>
  <c r="V9" i="3"/>
  <c r="V6" i="4" s="1"/>
  <c r="V66" i="4"/>
  <c r="V67" i="4" s="1"/>
  <c r="V68" i="3"/>
  <c r="U21" i="4"/>
  <c r="U22" i="4" s="1"/>
  <c r="V5" i="4" s="1"/>
  <c r="X30" i="3" l="1"/>
  <c r="W47" i="3"/>
  <c r="W44" i="4"/>
  <c r="V17" i="6"/>
  <c r="V15" i="3"/>
  <c r="V8" i="4" s="1"/>
  <c r="V16" i="3"/>
  <c r="V18" i="3"/>
  <c r="V20" i="3" s="1"/>
  <c r="V7" i="4"/>
  <c r="V11" i="4" s="1"/>
  <c r="W54" i="3"/>
  <c r="V71" i="3"/>
  <c r="U23" i="4"/>
  <c r="U8" i="5"/>
  <c r="U9" i="5" s="1"/>
  <c r="U10" i="5" s="1"/>
  <c r="U15" i="5"/>
  <c r="U24" i="4"/>
  <c r="U25" i="4"/>
  <c r="V69" i="4"/>
  <c r="X39" i="4" l="1"/>
  <c r="X41" i="6" s="1"/>
  <c r="X38" i="4"/>
  <c r="X36" i="3"/>
  <c r="X34" i="3"/>
  <c r="X32" i="3"/>
  <c r="X31" i="4" s="1"/>
  <c r="W46" i="4"/>
  <c r="W47" i="4" s="1"/>
  <c r="X30" i="4" s="1"/>
  <c r="V21" i="3"/>
  <c r="V16" i="4"/>
  <c r="V17" i="4" s="1"/>
  <c r="W64" i="4"/>
  <c r="W65" i="6" s="1"/>
  <c r="W63" i="4"/>
  <c r="W60" i="3"/>
  <c r="W58" i="3"/>
  <c r="W56" i="3"/>
  <c r="W56" i="4" s="1"/>
  <c r="U16" i="5"/>
  <c r="U17" i="5" s="1"/>
  <c r="U20" i="6"/>
  <c r="U21" i="6" s="1"/>
  <c r="U22" i="6" s="1"/>
  <c r="V71" i="4"/>
  <c r="V72" i="4"/>
  <c r="W55" i="4" s="1"/>
  <c r="X40" i="6" l="1"/>
  <c r="X38" i="3"/>
  <c r="X33" i="4" s="1"/>
  <c r="X39" i="3"/>
  <c r="X32" i="4"/>
  <c r="X36" i="4" s="1"/>
  <c r="X41" i="3"/>
  <c r="X43" i="3" s="1"/>
  <c r="W48" i="4"/>
  <c r="W49" i="4"/>
  <c r="W50" i="4"/>
  <c r="W32" i="5"/>
  <c r="W33" i="5" s="1"/>
  <c r="W34" i="5" s="1"/>
  <c r="W40" i="5"/>
  <c r="W7" i="3"/>
  <c r="V24" i="3"/>
  <c r="V19" i="4"/>
  <c r="W64" i="6"/>
  <c r="W62" i="3"/>
  <c r="W57" i="4"/>
  <c r="W61" i="4" s="1"/>
  <c r="W65" i="3"/>
  <c r="W67" i="3" s="1"/>
  <c r="V73" i="4"/>
  <c r="V74" i="4"/>
  <c r="V75" i="4"/>
  <c r="V58" i="5"/>
  <c r="V59" i="5" s="1"/>
  <c r="V60" i="5" s="1"/>
  <c r="V66" i="5"/>
  <c r="X44" i="3" l="1"/>
  <c r="X41" i="4"/>
  <c r="X42" i="4" s="1"/>
  <c r="W41" i="5"/>
  <c r="W42" i="5" s="1"/>
  <c r="W43" i="6"/>
  <c r="W44" i="6" s="1"/>
  <c r="W45" i="6" s="1"/>
  <c r="W13" i="3"/>
  <c r="W11" i="3"/>
  <c r="W9" i="3"/>
  <c r="W6" i="4" s="1"/>
  <c r="W14" i="4"/>
  <c r="W18" i="6" s="1"/>
  <c r="W13" i="4"/>
  <c r="V21" i="4"/>
  <c r="V22" i="4"/>
  <c r="W5" i="4" s="1"/>
  <c r="W68" i="3"/>
  <c r="W66" i="4"/>
  <c r="W67" i="4" s="1"/>
  <c r="V67" i="5"/>
  <c r="V68" i="5" s="1"/>
  <c r="V67" i="6"/>
  <c r="V68" i="6" s="1"/>
  <c r="V69" i="6" s="1"/>
  <c r="W58" i="4"/>
  <c r="W63" i="3"/>
  <c r="X64" i="3" s="1"/>
  <c r="Y30" i="3" l="1"/>
  <c r="X47" i="3"/>
  <c r="X44" i="4"/>
  <c r="W15" i="3"/>
  <c r="W8" i="4" s="1"/>
  <c r="W16" i="3"/>
  <c r="W18" i="3"/>
  <c r="W20" i="3" s="1"/>
  <c r="W7" i="4"/>
  <c r="W11" i="4" s="1"/>
  <c r="W17" i="6"/>
  <c r="V23" i="4"/>
  <c r="V8" i="5"/>
  <c r="V9" i="5" s="1"/>
  <c r="V10" i="5" s="1"/>
  <c r="V15" i="5"/>
  <c r="V24" i="4"/>
  <c r="V25" i="4"/>
  <c r="X54" i="3"/>
  <c r="W71" i="3"/>
  <c r="W69" i="4"/>
  <c r="Y38" i="4" l="1"/>
  <c r="Y39" i="4"/>
  <c r="Y41" i="6" s="1"/>
  <c r="Y36" i="3"/>
  <c r="Y34" i="3"/>
  <c r="Y32" i="3"/>
  <c r="Y31" i="4" s="1"/>
  <c r="X46" i="4"/>
  <c r="X47" i="4" s="1"/>
  <c r="Y30" i="4" s="1"/>
  <c r="W21" i="3"/>
  <c r="W16" i="4"/>
  <c r="W17" i="4" s="1"/>
  <c r="V16" i="5"/>
  <c r="V17" i="5" s="1"/>
  <c r="V20" i="6"/>
  <c r="V21" i="6" s="1"/>
  <c r="V22" i="6" s="1"/>
  <c r="X64" i="4"/>
  <c r="X65" i="6" s="1"/>
  <c r="X63" i="4"/>
  <c r="X60" i="3"/>
  <c r="X58" i="3"/>
  <c r="X56" i="3"/>
  <c r="X56" i="4" s="1"/>
  <c r="W71" i="4"/>
  <c r="W72" i="4" s="1"/>
  <c r="X55" i="4" s="1"/>
  <c r="Y40" i="6" l="1"/>
  <c r="Y38" i="3"/>
  <c r="Y33" i="4" s="1"/>
  <c r="Y39" i="3"/>
  <c r="Y41" i="3"/>
  <c r="Y43" i="3" s="1"/>
  <c r="Y32" i="4"/>
  <c r="Y36" i="4" s="1"/>
  <c r="X48" i="4"/>
  <c r="X49" i="4"/>
  <c r="X50" i="4"/>
  <c r="X32" i="5"/>
  <c r="X33" i="5" s="1"/>
  <c r="X34" i="5" s="1"/>
  <c r="X40" i="5"/>
  <c r="W24" i="3"/>
  <c r="X7" i="3"/>
  <c r="W19" i="4"/>
  <c r="B57" i="6"/>
  <c r="X64" i="6"/>
  <c r="X62" i="3"/>
  <c r="X65" i="3"/>
  <c r="X67" i="3" s="1"/>
  <c r="X57" i="4"/>
  <c r="W73" i="4"/>
  <c r="W74" i="4"/>
  <c r="W75" i="4"/>
  <c r="W58" i="5"/>
  <c r="W59" i="5" s="1"/>
  <c r="W60" i="5" s="1"/>
  <c r="W66" i="5"/>
  <c r="Y44" i="3" l="1"/>
  <c r="Y41" i="4"/>
  <c r="Y42" i="4" s="1"/>
  <c r="X41" i="5"/>
  <c r="X42" i="5" s="1"/>
  <c r="X43" i="6"/>
  <c r="X44" i="6" s="1"/>
  <c r="X45" i="6" s="1"/>
  <c r="X14" i="4"/>
  <c r="X18" i="6" s="1"/>
  <c r="X13" i="4"/>
  <c r="X11" i="3"/>
  <c r="X9" i="3"/>
  <c r="X6" i="4" s="1"/>
  <c r="X13" i="3"/>
  <c r="W21" i="4"/>
  <c r="W22" i="4" s="1"/>
  <c r="X5" i="4" s="1"/>
  <c r="B56" i="6"/>
  <c r="X68" i="3"/>
  <c r="X66" i="4"/>
  <c r="X67" i="4" s="1"/>
  <c r="W67" i="5"/>
  <c r="W68" i="5" s="1"/>
  <c r="W67" i="6"/>
  <c r="X58" i="4"/>
  <c r="X63" i="3"/>
  <c r="E12" i="7" s="1"/>
  <c r="E10" i="7" s="1"/>
  <c r="E11" i="7" s="1"/>
  <c r="Z30" i="3" l="1"/>
  <c r="Y47" i="3"/>
  <c r="Y44" i="4"/>
  <c r="B10" i="6"/>
  <c r="X17" i="6"/>
  <c r="X7" i="4"/>
  <c r="X15" i="3"/>
  <c r="X16" i="3"/>
  <c r="C12" i="7" s="1"/>
  <c r="W23" i="4"/>
  <c r="W25" i="4"/>
  <c r="W24" i="4"/>
  <c r="W8" i="5"/>
  <c r="W9" i="5" s="1"/>
  <c r="W10" i="5" s="1"/>
  <c r="W15" i="5"/>
  <c r="X70" i="3"/>
  <c r="X60" i="4" s="1"/>
  <c r="X61" i="4" s="1"/>
  <c r="X71" i="3"/>
  <c r="W68" i="6"/>
  <c r="W69" i="6" s="1"/>
  <c r="Z39" i="4" l="1"/>
  <c r="Z41" i="6" s="1"/>
  <c r="Z38" i="4"/>
  <c r="Z36" i="3"/>
  <c r="Z34" i="3"/>
  <c r="Z32" i="3"/>
  <c r="Z31" i="4" s="1"/>
  <c r="Y46" i="4"/>
  <c r="Y47" i="4" s="1"/>
  <c r="Z30" i="4" s="1"/>
  <c r="B9" i="6"/>
  <c r="W16" i="5"/>
  <c r="W17" i="5" s="1"/>
  <c r="W20" i="6"/>
  <c r="X69" i="4"/>
  <c r="X8" i="4"/>
  <c r="X18" i="3"/>
  <c r="X20" i="3" s="1"/>
  <c r="B33" i="6" l="1"/>
  <c r="Z40" i="6"/>
  <c r="Z38" i="3"/>
  <c r="Z33" i="4" s="1"/>
  <c r="Z39" i="3"/>
  <c r="D12" i="7" s="1"/>
  <c r="Z32" i="4"/>
  <c r="Z41" i="3"/>
  <c r="Z43" i="3" s="1"/>
  <c r="Y48" i="4"/>
  <c r="Y49" i="4"/>
  <c r="Y50" i="4"/>
  <c r="Y32" i="5"/>
  <c r="Y33" i="5" s="1"/>
  <c r="Y34" i="5" s="1"/>
  <c r="Y40" i="5"/>
  <c r="W21" i="6"/>
  <c r="W22" i="6" s="1"/>
  <c r="X71" i="4"/>
  <c r="X72" i="4" s="1"/>
  <c r="X16" i="4"/>
  <c r="X17" i="4" s="1"/>
  <c r="X21" i="3"/>
  <c r="B32" i="6" l="1"/>
  <c r="Z44" i="3"/>
  <c r="Z41" i="4"/>
  <c r="Z42" i="4" s="1"/>
  <c r="Y41" i="5"/>
  <c r="Y42" i="5" s="1"/>
  <c r="Y43" i="6"/>
  <c r="X73" i="4"/>
  <c r="X74" i="4"/>
  <c r="X75" i="4"/>
  <c r="X58" i="5"/>
  <c r="X66" i="5"/>
  <c r="X24" i="3"/>
  <c r="X23" i="3"/>
  <c r="X10" i="4" s="1"/>
  <c r="X11" i="4" s="1"/>
  <c r="Z46" i="3" l="1"/>
  <c r="Z35" i="4" s="1"/>
  <c r="Z36" i="4" s="1"/>
  <c r="Z47" i="3"/>
  <c r="Y44" i="6"/>
  <c r="Y45" i="6" s="1"/>
  <c r="B74" i="5"/>
  <c r="X59" i="5"/>
  <c r="B76" i="5"/>
  <c r="X67" i="5"/>
  <c r="X67" i="6"/>
  <c r="X19" i="4"/>
  <c r="Z44" i="4" l="1"/>
  <c r="X60" i="5"/>
  <c r="B73" i="5"/>
  <c r="X68" i="5"/>
  <c r="B75" i="5"/>
  <c r="B59" i="6"/>
  <c r="B61" i="6"/>
  <c r="X68" i="6"/>
  <c r="X69" i="6" s="1"/>
  <c r="B58" i="6"/>
  <c r="B60" i="6"/>
  <c r="X21" i="4"/>
  <c r="X22" i="4" s="1"/>
  <c r="Z46" i="4" l="1"/>
  <c r="Z47" i="4" s="1"/>
  <c r="X23" i="4"/>
  <c r="X24" i="4"/>
  <c r="X8" i="5"/>
  <c r="X15" i="5"/>
  <c r="X25" i="4"/>
  <c r="Z48" i="4" l="1"/>
  <c r="Z49" i="4"/>
  <c r="Z50" i="4"/>
  <c r="Z32" i="5"/>
  <c r="Z40" i="5"/>
  <c r="B22" i="5"/>
  <c r="X9" i="5"/>
  <c r="B24" i="5"/>
  <c r="X16" i="5"/>
  <c r="X20" i="6"/>
  <c r="B48" i="5" l="1"/>
  <c r="Z33" i="5"/>
  <c r="B50" i="5"/>
  <c r="Z41" i="5"/>
  <c r="Z43" i="6"/>
  <c r="X10" i="5"/>
  <c r="B21" i="5"/>
  <c r="X17" i="5"/>
  <c r="B23" i="5"/>
  <c r="B12" i="6"/>
  <c r="B14" i="6"/>
  <c r="X21" i="6"/>
  <c r="X22" i="6" s="1"/>
  <c r="B11" i="6"/>
  <c r="B13" i="6"/>
  <c r="Z34" i="5" l="1"/>
  <c r="B47" i="5"/>
  <c r="Z42" i="5"/>
  <c r="B35" i="6"/>
  <c r="B49" i="5"/>
  <c r="B37" i="6"/>
  <c r="Z44" i="6"/>
  <c r="Z45" i="6" s="1"/>
  <c r="B36" i="6"/>
  <c r="B3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0" authorId="0" shapeId="0" xr:uid="{00000000-0006-0000-0000-000001000000}">
      <text>
        <r>
          <rPr>
            <sz val="10"/>
            <rFont val="Arial"/>
            <family val="2"/>
          </rPr>
          <t>Loss severity: 8.0% of defaulted amount</t>
        </r>
      </text>
    </comment>
    <comment ref="B44" authorId="0" shapeId="0" xr:uid="{00000000-0006-0000-0000-000002000000}">
      <text>
        <r>
          <rPr>
            <sz val="10"/>
            <rFont val="Arial"/>
            <family val="2"/>
          </rPr>
          <t xml:space="preserve">of original par
</t>
        </r>
      </text>
    </comment>
    <comment ref="B47" authorId="0" shapeId="0" xr:uid="{00000000-0006-0000-0000-000003000000}">
      <text>
        <r>
          <rPr>
            <sz val="10"/>
            <rFont val="Arial"/>
            <family val="2"/>
          </rPr>
          <t xml:space="preserve">of original par
</t>
        </r>
      </text>
    </comment>
    <comment ref="B51" authorId="0" shapeId="0" xr:uid="{00000000-0006-0000-0000-000004000000}">
      <text>
        <r>
          <rPr>
            <sz val="10"/>
            <rFont val="Arial"/>
            <family val="2"/>
          </rPr>
          <t xml:space="preserve">of original par
</t>
        </r>
      </text>
    </comment>
    <comment ref="B54" authorId="0" shapeId="0" xr:uid="{00000000-0006-0000-0000-000005000000}">
      <text>
        <r>
          <rPr>
            <sz val="10"/>
            <rFont val="Arial"/>
            <family val="2"/>
          </rPr>
          <t xml:space="preserve">X% of principal collections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100-000001000000}">
      <text>
        <r>
          <rPr>
            <sz val="10"/>
            <rFont val="Arial"/>
            <family val="2"/>
          </rPr>
          <t>where the money goes</t>
        </r>
      </text>
    </comment>
    <comment ref="A10" authorId="0" shapeId="0" xr:uid="{00000000-0006-0000-0100-000002000000}">
      <text>
        <r>
          <rPr>
            <sz val="10"/>
            <rFont val="Arial"/>
            <family val="2"/>
          </rPr>
          <t>where the money comes from</t>
        </r>
      </text>
    </comment>
    <comment ref="A17" authorId="0" shapeId="0" xr:uid="{00000000-0006-0000-0100-000003000000}">
      <text>
        <r>
          <rPr>
            <sz val="10"/>
            <rFont val="Arial"/>
            <family val="2"/>
          </rPr>
          <t xml:space="preserve">The Originator receives sale proceeds of 49, but it also contributes 6 of retained equity into the SPV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7" authorId="0" shapeId="0" xr:uid="{00000000-0006-0000-0200-000007000000}">
      <text>
        <r>
          <rPr>
            <sz val="10"/>
            <rFont val="Arial"/>
            <family val="2"/>
          </rPr>
          <t xml:space="preserve">-&gt; it fails the M12 reinvestment continuation test -&gt; M13 onwards reinvestment is 0%
</t>
        </r>
      </text>
    </comment>
    <comment ref="I19" authorId="0" shapeId="0" xr:uid="{00000000-0006-0000-0200-000005000000}">
      <text>
        <r>
          <rPr>
            <sz val="10"/>
            <rFont val="Arial"/>
            <family val="2"/>
          </rPr>
          <t>Based on Month 7 capital raise test</t>
        </r>
      </text>
    </comment>
    <comment ref="C21" authorId="0" shapeId="0" xr:uid="{00000000-0006-0000-0200-000001000000}">
      <text>
        <r>
          <rPr>
            <sz val="10"/>
            <rFont val="Arial"/>
            <family val="2"/>
          </rPr>
          <t>Ending Portfolio = Beginning Portfolio - Scheduled Principal - Gross Defaults + New Loans</t>
        </r>
      </text>
    </comment>
    <comment ref="I42" authorId="0" shapeId="0" xr:uid="{00000000-0006-0000-0200-000006000000}">
      <text>
        <r>
          <rPr>
            <sz val="10"/>
            <rFont val="Arial"/>
            <family val="2"/>
          </rPr>
          <t>Based on Month 7 capital raise test</t>
        </r>
      </text>
    </comment>
    <comment ref="C44" authorId="0" shapeId="0" xr:uid="{00000000-0006-0000-0200-000002000000}">
      <text>
        <r>
          <rPr>
            <sz val="10"/>
            <rFont val="Arial"/>
            <family val="2"/>
          </rPr>
          <t>Ending Portfolio = Beginning Portfolio - Scheduled Principal - Gross Defaults + New Loans</t>
        </r>
      </text>
    </comment>
    <comment ref="H64" authorId="0" shapeId="0" xr:uid="{00000000-0006-0000-0200-000004000000}">
      <text>
        <r>
          <rPr>
            <sz val="10"/>
            <rFont val="Arial"/>
            <family val="2"/>
          </rPr>
          <t xml:space="preserve">if cumulative net credit loss reaches 0.06m (0.12%*50m), future investmets stops in the following month
</t>
        </r>
      </text>
    </comment>
    <comment ref="C68" authorId="0" shapeId="0" xr:uid="{00000000-0006-0000-0200-000003000000}">
      <text>
        <r>
          <rPr>
            <sz val="10"/>
            <rFont val="Arial"/>
            <family val="2"/>
          </rPr>
          <t>Ending Portfolio = Beginning Portfolio - Scheduled Principal - Gross Defaults + New Loans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2" authorId="0" shapeId="0" xr:uid="{00000000-0006-0000-0400-000001000000}">
      <text>
        <r>
          <rPr>
            <sz val="10"/>
            <rFont val="Arial"/>
            <family val="2"/>
          </rPr>
          <t>Total cash received / Total cash invested</t>
        </r>
      </text>
    </comment>
    <comment ref="A48" authorId="0" shapeId="0" xr:uid="{00000000-0006-0000-0400-000002000000}">
      <text>
        <r>
          <rPr>
            <sz val="10"/>
            <rFont val="Arial"/>
            <family val="2"/>
          </rPr>
          <t>Total cash received / Total cash invested</t>
        </r>
      </text>
    </comment>
    <comment ref="A74" authorId="0" shapeId="0" xr:uid="{00000000-0006-0000-0400-000003000000}">
      <text>
        <r>
          <rPr>
            <sz val="10"/>
            <rFont val="Arial"/>
            <family val="2"/>
          </rPr>
          <t>Total cash received / Total cash invested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500-000001000000}">
      <text>
        <r>
          <rPr>
            <sz val="10"/>
            <rFont val="Arial"/>
            <family val="2"/>
          </rPr>
          <t>Why same as external investor IRR?
Because both invest pro rata and receive distributions pro rata.</t>
        </r>
      </text>
    </comment>
    <comment ref="B35" authorId="0" shapeId="0" xr:uid="{00000000-0006-0000-0500-000002000000}">
      <text>
        <r>
          <rPr>
            <sz val="10"/>
            <rFont val="Arial"/>
            <family val="2"/>
          </rPr>
          <t>Why same as external investor IRR?
Because both invest pro rata and receive distributions pro rata.</t>
        </r>
      </text>
    </comment>
    <comment ref="B59" authorId="0" shapeId="0" xr:uid="{00000000-0006-0000-0500-000003000000}">
      <text>
        <r>
          <rPr>
            <sz val="10"/>
            <rFont val="Arial"/>
            <family val="2"/>
          </rPr>
          <t>Why same as external investor IRR?
Because both invest pro rata and receive distributions pro rata.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7" authorId="0" shapeId="0" xr:uid="{00000000-0006-0000-0600-000001000000}">
      <text>
        <r>
          <rPr>
            <sz val="10"/>
            <rFont val="Arial"/>
            <family val="2"/>
          </rPr>
          <t xml:space="preserve">From Investor Returns tab
</t>
        </r>
      </text>
    </comment>
    <comment ref="B72" authorId="0" shapeId="0" xr:uid="{00000000-0006-0000-0600-000002000000}">
      <text>
        <r>
          <rPr>
            <sz val="10"/>
            <rFont val="Arial"/>
            <family val="2"/>
          </rPr>
          <t xml:space="preserve">From Investor Returns tab
</t>
        </r>
      </text>
    </comment>
  </commentList>
</comments>
</file>

<file path=xl/sharedStrings.xml><?xml version="1.0" encoding="utf-8"?>
<sst xmlns="http://schemas.openxmlformats.org/spreadsheetml/2006/main" count="528" uniqueCount="194">
  <si>
    <t>Model Controls</t>
  </si>
  <si>
    <t>Analysis Date</t>
  </si>
  <si>
    <t>Projection Months</t>
  </si>
  <si>
    <t>Selected Scenario</t>
  </si>
  <si>
    <t>Base</t>
  </si>
  <si>
    <t>Transaction Inputs ($ mm unless stated)</t>
  </si>
  <si>
    <t>Portfolio Par / Opening Principal</t>
  </si>
  <si>
    <t>Purchase Price (% of Par)</t>
  </si>
  <si>
    <t>Purchase Price ($)</t>
  </si>
  <si>
    <t>Upfront Fees (Legal/Setup)</t>
  </si>
  <si>
    <t>Initial Cash Reserve</t>
  </si>
  <si>
    <t>External Initial Equity</t>
  </si>
  <si>
    <t>Originator Initial Equity</t>
  </si>
  <si>
    <t>Total Initial Equity</t>
  </si>
  <si>
    <t>External Ownership %</t>
  </si>
  <si>
    <t>Originator Ownership %</t>
  </si>
  <si>
    <t>Additional Equity Raise Month</t>
  </si>
  <si>
    <t>Additional Equity Raise Total</t>
  </si>
  <si>
    <t>External Additional Equity</t>
  </si>
  <si>
    <t>Originator Additional Equity</t>
  </si>
  <si>
    <t>Minimum Ending Cash Reserve</t>
  </si>
  <si>
    <t>Scenario Assumptions  ($ mm unless stated)</t>
  </si>
  <si>
    <t>Active metric</t>
  </si>
  <si>
    <t>Selected</t>
  </si>
  <si>
    <t>Upside</t>
  </si>
  <si>
    <t>Downside</t>
  </si>
  <si>
    <t>Gross Yield (annual)</t>
  </si>
  <si>
    <t>Principal Repayment Rate (monthly)</t>
  </si>
  <si>
    <t>Scheduled Principal Rate (monthly)</t>
  </si>
  <si>
    <t>Starting Collateral Coverage</t>
  </si>
  <si>
    <t>Recovery Rate on Defaults</t>
  </si>
  <si>
    <t>Recovery Rate</t>
  </si>
  <si>
    <t>Servicing Fee (annual)</t>
  </si>
  <si>
    <t>Step-Down Servicing Fee (annual)</t>
  </si>
  <si>
    <t>Management Fee (annual)</t>
  </si>
  <si>
    <t>SPV Operating Expense / Month</t>
  </si>
  <si>
    <t>Reinvestment Rate</t>
  </si>
  <si>
    <t>Exit Multiple (% of Ending Portfolio)</t>
  </si>
  <si>
    <t>M7 Additional Equity Raise</t>
  </si>
  <si>
    <t>M9 Catch-Up Raise</t>
  </si>
  <si>
    <t xml:space="preserve">M13 Upside Raise </t>
  </si>
  <si>
    <t>Projection Period (Months)</t>
  </si>
  <si>
    <t>Approved Covenant Thresholds  ($ mm unless stated)</t>
  </si>
  <si>
    <t>M7 Minimum Reserve</t>
  </si>
  <si>
    <t>Cumulative Gross Default Threshold</t>
  </si>
  <si>
    <t>Trailing 3-Month External Distribution</t>
  </si>
  <si>
    <t>Collateral Coverage Threshold</t>
  </si>
  <si>
    <t>M8 Hard Loss Threshold</t>
  </si>
  <si>
    <t>M8 Hard Cash Floor</t>
  </si>
  <si>
    <t>M12 Reinvestment IRR Threshold (annual)</t>
  </si>
  <si>
    <t>Upside M13 Collateral Threshold</t>
  </si>
  <si>
    <t>Downside Stop-Loss Threshold</t>
  </si>
  <si>
    <t>Approved Reinvestment Tiers</t>
  </si>
  <si>
    <t>Gross Default Rate</t>
  </si>
  <si>
    <t>&lt;= 0.10%</t>
  </si>
  <si>
    <t>&gt; 0.10% and &lt;= 0.20%</t>
  </si>
  <si>
    <t>&gt; 0.20% and &lt;= 0.35%</t>
  </si>
  <si>
    <t>&gt; 0.35%</t>
  </si>
  <si>
    <t>Formatting convention: blue font with yellow background = hardcoded input, black = formulas, green = cross-sheet links.</t>
  </si>
  <si>
    <t>Sources &amp; Uses at Close   ($ mm unless stated)</t>
  </si>
  <si>
    <t>Uses</t>
  </si>
  <si>
    <t>Close</t>
  </si>
  <si>
    <t>Portfolio Purchase Price</t>
  </si>
  <si>
    <t>Upfront Fees</t>
  </si>
  <si>
    <t>Total Uses</t>
  </si>
  <si>
    <t>Sources</t>
  </si>
  <si>
    <t>External Investor Equity</t>
  </si>
  <si>
    <t>Originator Retained Equity</t>
  </si>
  <si>
    <t>Total Sources</t>
  </si>
  <si>
    <t>Balance Check</t>
  </si>
  <si>
    <t>Originator Sale Proceeds</t>
  </si>
  <si>
    <t>Originator net cash received at close</t>
  </si>
  <si>
    <t>Portfolio Rollforward - Asset/Portfolio Perspective</t>
  </si>
  <si>
    <t>Portfolio Roll-Forward ($ mm unless stated)</t>
  </si>
  <si>
    <t>Close / M0</t>
  </si>
  <si>
    <t>Beginning Portfolio Balance</t>
  </si>
  <si>
    <t>Interest Income</t>
  </si>
  <si>
    <t>Repaid Principal Amount (monthly)</t>
  </si>
  <si>
    <t>Default Rate (monthly)</t>
  </si>
  <si>
    <t>Gross Defaults in $ (monthly)</t>
  </si>
  <si>
    <t>Recoveries</t>
  </si>
  <si>
    <t>Net Credit Loss</t>
  </si>
  <si>
    <t>Reinvestment into New Loans</t>
  </si>
  <si>
    <t>Additional Equity Raise Deployed</t>
  </si>
  <si>
    <t>Total New Loan Funding (reinv.)</t>
  </si>
  <si>
    <t>Ending Portfolio Balance</t>
  </si>
  <si>
    <t>Exit Multiple</t>
  </si>
  <si>
    <t>Terminal Sale Proceeds</t>
  </si>
  <si>
    <t>Average Portfolio Balance</t>
  </si>
  <si>
    <t>UPSIDE</t>
  </si>
  <si>
    <t>DOWNSIDE</t>
  </si>
  <si>
    <t>SPV Cash Waterfall ($ mm unless stated)</t>
  </si>
  <si>
    <t>Beginning Cash Balance</t>
  </si>
  <si>
    <t>Scheduled Principal Collections</t>
  </si>
  <si>
    <t>Recoveries on Defaults</t>
  </si>
  <si>
    <t>Additional Equity Raise</t>
  </si>
  <si>
    <t>Total Cash Inflows</t>
  </si>
  <si>
    <t>Servicing Fee</t>
  </si>
  <si>
    <t>Management Fee</t>
  </si>
  <si>
    <t>SPV Operating Expenses</t>
  </si>
  <si>
    <t>New Loan Funding (reinv.)</t>
  </si>
  <si>
    <t>Total Operating Outflows</t>
  </si>
  <si>
    <t>Cash Before Distribution</t>
  </si>
  <si>
    <t>Required Ending Reserve</t>
  </si>
  <si>
    <t>Distributions to Equity</t>
  </si>
  <si>
    <t>Ending Cash Balance</t>
  </si>
  <si>
    <t>Cash Flow Check</t>
  </si>
  <si>
    <t>External Investor Equity Distribution</t>
  </si>
  <si>
    <t>Originator Retained Equity Distribution</t>
  </si>
  <si>
    <t>Equity Investor Returns  ($ mm unless stated)</t>
  </si>
  <si>
    <t>External Investors</t>
  </si>
  <si>
    <t>Equity Contributions</t>
  </si>
  <si>
    <t>Distributions from SPV</t>
  </si>
  <si>
    <t>Net Cash Flow</t>
  </si>
  <si>
    <t>Cumulative Net Cash Flow</t>
  </si>
  <si>
    <t>Key Investor Outputs</t>
  </si>
  <si>
    <t>External Investor Annualized IRR</t>
  </si>
  <si>
    <t>External Investor MOIC</t>
  </si>
  <si>
    <t>Originator Annualized IRR</t>
  </si>
  <si>
    <t>Originator MOIC</t>
  </si>
  <si>
    <t>Originator Retained Equity  ($ mm unless stated)</t>
  </si>
  <si>
    <t xml:space="preserve">Originator Economics </t>
  </si>
  <si>
    <t>Key Originator Outputs  ($ mm unless stated)</t>
  </si>
  <si>
    <t>Upfront Sale Proceeds</t>
  </si>
  <si>
    <t>Total Servicing Fees</t>
  </si>
  <si>
    <t>Total Management Fees</t>
  </si>
  <si>
    <t>Total Retained Equity Distributions</t>
  </si>
  <si>
    <t>Originator Equity Annualized IRR</t>
  </si>
  <si>
    <t>Originator Equity MOIC</t>
  </si>
  <si>
    <t>Total Originator Cash Benefit</t>
  </si>
  <si>
    <t>Originator Cash Flows  ($ mm unless stated)</t>
  </si>
  <si>
    <t>Sale Proceeds</t>
  </si>
  <si>
    <t>Servicing Fees</t>
  </si>
  <si>
    <t>Management Fees</t>
  </si>
  <si>
    <t>Retained Equity Contributions</t>
  </si>
  <si>
    <t>Retained Equity Distributions</t>
  </si>
  <si>
    <t>OVERVIEW</t>
  </si>
  <si>
    <t>Scenario Trigger Outcomes</t>
  </si>
  <si>
    <t>Trigger / Test</t>
  </si>
  <si>
    <t>Month 7 Raise</t>
  </si>
  <si>
    <t>Month 9 Catch-Up Raise</t>
  </si>
  <si>
    <t xml:space="preserve">Month 13 Upside Raise </t>
  </si>
  <si>
    <t>Servicing Fee Stepped Down</t>
  </si>
  <si>
    <t>M12 Reinvestment Continuation Test</t>
  </si>
  <si>
    <t>Upside Reinvestment Extension (M20)</t>
  </si>
  <si>
    <t>Downside Stop-Loss</t>
  </si>
  <si>
    <t>BASE</t>
  </si>
  <si>
    <t>Month 7 capital raise test ($ mm unless stated)</t>
  </si>
  <si>
    <t>Hard loss Threshold M8  ($ mm unless stated)</t>
  </si>
  <si>
    <t>Test</t>
  </si>
  <si>
    <t>Base M6 value</t>
  </si>
  <si>
    <t>Threshold</t>
  </si>
  <si>
    <t>Pass</t>
  </si>
  <si>
    <t>Value</t>
  </si>
  <si>
    <t>Ending cash reserve</t>
  </si>
  <si>
    <t>&gt;=1.00 m</t>
  </si>
  <si>
    <t>Cum. Net loss</t>
  </si>
  <si>
    <t>Cum. Gross defaults / original par</t>
  </si>
  <si>
    <t>&lt;= 0.95%</t>
  </si>
  <si>
    <t>Min. Cash</t>
  </si>
  <si>
    <t>M4-M6 external investor distributions</t>
  </si>
  <si>
    <t>&gt;=1.05 m</t>
  </si>
  <si>
    <t>Collateral coverage</t>
  </si>
  <si>
    <t>&gt;= 2.05x</t>
  </si>
  <si>
    <t>-&gt; only applicable if M7 raise does not occur</t>
  </si>
  <si>
    <t>-&gt; M7 equity raise will occur in the amount of $10m</t>
  </si>
  <si>
    <t>Month 12 reinvestment continuation test ($ mm unless stated)</t>
  </si>
  <si>
    <t>Item</t>
  </si>
  <si>
    <t>M12 ending portfolio</t>
  </si>
  <si>
    <t>M12 ending cash</t>
  </si>
  <si>
    <t>Terminal sale percentage</t>
  </si>
  <si>
    <t>Hypothetical exit proceeds</t>
  </si>
  <si>
    <t>External Investor Share</t>
  </si>
  <si>
    <t>Projected M12 IRR (annual)</t>
  </si>
  <si>
    <t>&gt;=  9.00 %</t>
  </si>
  <si>
    <t>-&gt; it fails the M12 reinvestment continuation test -&gt; M13 onwards reinvestment is 0%</t>
  </si>
  <si>
    <t>Equity Investor Returns ($)</t>
  </si>
  <si>
    <t>Exit  proceeds</t>
  </si>
  <si>
    <t>Month 13 second equity raise  test - only for Upside scenario</t>
  </si>
  <si>
    <t>M7 raised occured</t>
  </si>
  <si>
    <t>Projected M12 IRR (annual) &gt;= 9.00%</t>
  </si>
  <si>
    <t>Collateral coverage &gt;= 2.2x</t>
  </si>
  <si>
    <t>-&gt; it passes all tests, in M13 $5m can be raised</t>
  </si>
  <si>
    <t>-&gt; it passes the M12 reinvestment continuation test -&gt; can continue with reinvestment</t>
  </si>
  <si>
    <t>Exit Proceeds</t>
  </si>
  <si>
    <t>-&gt; NO equity raise in M7</t>
  </si>
  <si>
    <t>-&gt; No equity raise in M9</t>
  </si>
  <si>
    <t>-&gt; No equity raise in M7 and M9 -&gt; Servicing fee step down from 1% to 0.9%</t>
  </si>
  <si>
    <t>Scenario</t>
  </si>
  <si>
    <t>Month</t>
  </si>
  <si>
    <t>Period End</t>
  </si>
  <si>
    <t>Scheduled Principal Rate</t>
  </si>
  <si>
    <t>Collateral Index</t>
  </si>
  <si>
    <t>Monthly Operating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</si>
</sst>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m\-yy"/>
    <numFmt numFmtId="165" formatCode="\$#,##0.00_);[Red]\(\$#,##0.00\);\-"/>
    <numFmt numFmtId="166" formatCode="0.00%;[Red]\(0.00%\);\-"/>
    <numFmt numFmtId="167" formatCode="0.00&quot;x&quot;"/>
    <numFmt numFmtId="168" formatCode="&quot;$&quot;#,##0.00"/>
    <numFmt numFmtId="169" formatCode="#,##0_);[Red]\(#,##0\);\-"/>
    <numFmt numFmtId="170" formatCode="0.000\x"/>
    <numFmt numFmtId="171" formatCode="mm\-dd\-yy"/>
  </numFmts>
  <fonts count="3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0000FF"/>
      <name val="Calibri"/>
      <family val="2"/>
      <charset val="238"/>
    </font>
    <font>
      <sz val="11"/>
      <color rgb="FFFF0000"/>
      <name val="Calibri"/>
      <family val="2"/>
      <charset val="238"/>
    </font>
    <font>
      <sz val="10"/>
      <name val="Calibri"/>
      <family val="2"/>
    </font>
    <font>
      <i/>
      <sz val="10"/>
      <color rgb="FF808080"/>
      <name val="Calibri"/>
      <family val="2"/>
    </font>
    <font>
      <sz val="11"/>
      <color rgb="FF000000"/>
      <name val="Calibri"/>
      <family val="2"/>
      <charset val="1"/>
    </font>
    <font>
      <b/>
      <sz val="11"/>
      <name val="Calibri"/>
      <family val="2"/>
      <charset val="238"/>
    </font>
    <font>
      <sz val="10"/>
      <name val="Calibri"/>
      <family val="2"/>
      <charset val="238"/>
    </font>
    <font>
      <i/>
      <sz val="10"/>
      <color rgb="FF808080"/>
      <name val="Calibri"/>
      <family val="2"/>
      <charset val="238"/>
    </font>
    <font>
      <b/>
      <i/>
      <sz val="14"/>
      <color theme="1" tint="0.49989318521683401"/>
      <name val="Calibri"/>
      <family val="2"/>
      <charset val="1"/>
    </font>
    <font>
      <sz val="11"/>
      <color theme="1" tint="0.49989318521683401"/>
      <name val="Calibri"/>
      <family val="2"/>
      <charset val="1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b/>
      <sz val="11"/>
      <color rgb="FF000000"/>
      <name val="Calibri"/>
      <family val="2"/>
    </font>
    <font>
      <i/>
      <sz val="11"/>
      <color rgb="FF666666"/>
      <name val="Calibri"/>
      <family val="2"/>
      <charset val="238"/>
    </font>
    <font>
      <b/>
      <sz val="20"/>
      <color rgb="FFFFFFFF"/>
      <name val="Calibri"/>
      <family val="2"/>
      <charset val="1"/>
    </font>
    <font>
      <sz val="20"/>
      <color theme="1"/>
      <name val="Calibri"/>
      <family val="2"/>
      <charset val="1"/>
    </font>
    <font>
      <b/>
      <sz val="15"/>
      <color theme="1"/>
      <name val="Calibri"/>
      <family val="2"/>
      <charset val="238"/>
    </font>
    <font>
      <sz val="11"/>
      <color rgb="FF008000"/>
      <name val="Calibri"/>
      <family val="2"/>
      <charset val="238"/>
    </font>
    <font>
      <sz val="11"/>
      <color theme="9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4"/>
      <color theme="1"/>
      <name val="Calibri"/>
      <family val="2"/>
      <charset val="238"/>
    </font>
    <font>
      <sz val="11"/>
      <name val="Calibri"/>
      <family val="2"/>
      <charset val="238"/>
    </font>
    <font>
      <sz val="11"/>
      <color theme="9"/>
      <name val="Calibri"/>
      <family val="2"/>
      <charset val="1"/>
    </font>
    <font>
      <b/>
      <sz val="11"/>
      <color theme="1"/>
      <name val="Calibri"/>
      <family val="2"/>
      <charset val="238"/>
    </font>
    <font>
      <sz val="11"/>
      <name val="Calibri"/>
      <family val="2"/>
      <charset val="1"/>
    </font>
    <font>
      <b/>
      <sz val="10"/>
      <color rgb="FFFFFFFF"/>
      <name val="Arial"/>
      <family val="2"/>
      <charset val="238"/>
    </font>
    <font>
      <b/>
      <sz val="9"/>
      <color rgb="FF1F1F1F"/>
      <name val="Arial"/>
      <family val="2"/>
      <charset val="238"/>
    </font>
    <font>
      <sz val="9"/>
      <color rgb="FF1F1F1F"/>
      <name val="Arial"/>
      <family val="2"/>
      <charset val="238"/>
    </font>
    <font>
      <sz val="11"/>
      <color theme="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rgb="FF666666"/>
      </patternFill>
    </fill>
    <fill>
      <patternFill patternType="solid">
        <fgColor rgb="FFFFF2CC"/>
        <bgColor rgb="FFF4F7FA"/>
      </patternFill>
    </fill>
    <fill>
      <patternFill patternType="solid">
        <fgColor theme="9" tint="0.59987182226020086"/>
        <bgColor rgb="FFD9E1F2"/>
      </patternFill>
    </fill>
    <fill>
      <patternFill patternType="solid">
        <fgColor rgb="FFD9F0EE"/>
        <bgColor rgb="FFE7E6E6"/>
      </patternFill>
    </fill>
    <fill>
      <patternFill patternType="solid">
        <fgColor theme="4" tint="-0.249977111117893"/>
        <bgColor rgb="FF0070C0"/>
      </patternFill>
    </fill>
    <fill>
      <patternFill patternType="solid">
        <fgColor theme="7" tint="0.39988402966399123"/>
        <bgColor rgb="FFF8CBAD"/>
      </patternFill>
    </fill>
    <fill>
      <patternFill patternType="solid">
        <fgColor rgb="FFE7E6E6"/>
        <bgColor rgb="FFD9E1F2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5" tint="0.59987182226020086"/>
        <bgColor rgb="FFFFD966"/>
      </patternFill>
    </fill>
    <fill>
      <patternFill patternType="solid">
        <fgColor theme="7" tint="-0.249977111117893"/>
        <bgColor rgb="FFC55A11"/>
      </patternFill>
    </fill>
    <fill>
      <patternFill patternType="solid">
        <fgColor theme="0" tint="-0.499984740745262"/>
        <bgColor rgb="FF7F7F7F"/>
      </patternFill>
    </fill>
    <fill>
      <patternFill patternType="solid">
        <fgColor rgb="FFF4F7FA"/>
        <bgColor rgb="FFFFFFFF"/>
      </patternFill>
    </fill>
    <fill>
      <patternFill patternType="solid">
        <fgColor rgb="FFFFFFFF"/>
        <bgColor rgb="FFF4F7FA"/>
      </patternFill>
    </fill>
  </fills>
  <borders count="3">
    <border>
      <left/>
      <right/>
      <top/>
      <bottom/>
      <diagonal/>
    </border>
    <border>
      <left/>
      <right/>
      <top style="medium">
        <color rgb="FF0B1F33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2">
    <xf numFmtId="0" fontId="0" fillId="0" borderId="0"/>
    <xf numFmtId="9" fontId="32" fillId="0" borderId="0"/>
  </cellStyleXfs>
  <cellXfs count="115">
    <xf numFmtId="0" fontId="0" fillId="0" borderId="0" xfId="0"/>
    <xf numFmtId="0" fontId="24" fillId="11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18" fillId="6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2" borderId="0" xfId="0" applyFill="1"/>
    <xf numFmtId="0" fontId="3" fillId="0" borderId="0" xfId="0" applyFont="1" applyAlignment="1">
      <alignment horizontal="left"/>
    </xf>
    <xf numFmtId="164" fontId="4" fillId="3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1" fontId="3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right"/>
    </xf>
    <xf numFmtId="0" fontId="6" fillId="0" borderId="0" xfId="0" applyFont="1"/>
    <xf numFmtId="10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7" fillId="0" borderId="0" xfId="0" applyFont="1"/>
    <xf numFmtId="165" fontId="4" fillId="3" borderId="0" xfId="0" applyNumberFormat="1" applyFont="1" applyFill="1" applyAlignment="1">
      <alignment horizontal="right"/>
    </xf>
    <xf numFmtId="165" fontId="3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0" fontId="8" fillId="0" borderId="0" xfId="1" applyNumberFormat="1" applyFont="1" applyAlignment="1">
      <alignment horizontal="right"/>
    </xf>
    <xf numFmtId="0" fontId="9" fillId="4" borderId="0" xfId="0" applyFont="1" applyFill="1" applyAlignment="1">
      <alignment horizontal="left"/>
    </xf>
    <xf numFmtId="0" fontId="9" fillId="4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6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4" fillId="3" borderId="0" xfId="0" applyNumberFormat="1" applyFont="1" applyFill="1" applyAlignment="1">
      <alignment horizontal="center"/>
    </xf>
    <xf numFmtId="167" fontId="3" fillId="0" borderId="0" xfId="0" applyNumberFormat="1" applyFont="1" applyAlignment="1">
      <alignment horizontal="right"/>
    </xf>
    <xf numFmtId="167" fontId="4" fillId="3" borderId="0" xfId="0" applyNumberFormat="1" applyFont="1" applyFill="1" applyAlignment="1">
      <alignment horizontal="center"/>
    </xf>
    <xf numFmtId="168" fontId="3" fillId="0" borderId="0" xfId="0" applyNumberFormat="1" applyFont="1" applyAlignment="1">
      <alignment horizontal="right"/>
    </xf>
    <xf numFmtId="165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166" fontId="4" fillId="3" borderId="0" xfId="0" applyNumberFormat="1" applyFont="1" applyFill="1" applyAlignment="1">
      <alignment horizontal="right"/>
    </xf>
    <xf numFmtId="167" fontId="4" fillId="3" borderId="0" xfId="0" applyNumberFormat="1" applyFont="1" applyFill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horizontal="left"/>
    </xf>
    <xf numFmtId="165" fontId="15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16" fillId="5" borderId="0" xfId="0" applyNumberFormat="1" applyFont="1" applyFill="1" applyAlignment="1">
      <alignment horizontal="left"/>
    </xf>
    <xf numFmtId="165" fontId="16" fillId="5" borderId="0" xfId="0" applyNumberFormat="1" applyFont="1" applyFill="1" applyAlignment="1">
      <alignment horizontal="right"/>
    </xf>
    <xf numFmtId="0" fontId="17" fillId="0" borderId="0" xfId="0" applyFont="1" applyAlignment="1">
      <alignment horizontal="left"/>
    </xf>
    <xf numFmtId="0" fontId="19" fillId="0" borderId="0" xfId="0" applyFont="1"/>
    <xf numFmtId="0" fontId="20" fillId="7" borderId="0" xfId="0" applyFont="1" applyFill="1" applyAlignment="1">
      <alignment horizontal="left"/>
    </xf>
    <xf numFmtId="0" fontId="20" fillId="7" borderId="0" xfId="0" applyFont="1" applyFill="1" applyAlignment="1">
      <alignment horizontal="right"/>
    </xf>
    <xf numFmtId="166" fontId="21" fillId="0" borderId="0" xfId="0" applyNumberFormat="1" applyFont="1" applyAlignment="1">
      <alignment horizontal="right"/>
    </xf>
    <xf numFmtId="0" fontId="9" fillId="8" borderId="0" xfId="0" applyFont="1" applyFill="1" applyAlignment="1">
      <alignment horizontal="right"/>
    </xf>
    <xf numFmtId="164" fontId="9" fillId="8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5" fontId="22" fillId="4" borderId="0" xfId="0" applyNumberFormat="1" applyFont="1" applyFill="1" applyAlignment="1">
      <alignment horizontal="right"/>
    </xf>
    <xf numFmtId="0" fontId="3" fillId="9" borderId="0" xfId="0" applyFont="1" applyFill="1" applyAlignment="1">
      <alignment horizontal="left"/>
    </xf>
    <xf numFmtId="165" fontId="3" fillId="9" borderId="0" xfId="0" applyNumberFormat="1" applyFont="1" applyFill="1" applyAlignment="1">
      <alignment horizontal="right"/>
    </xf>
    <xf numFmtId="0" fontId="23" fillId="4" borderId="1" xfId="0" applyFont="1" applyFill="1" applyBorder="1" applyAlignment="1">
      <alignment horizontal="left"/>
    </xf>
    <xf numFmtId="165" fontId="3" fillId="4" borderId="1" xfId="0" applyNumberFormat="1" applyFont="1" applyFill="1" applyBorder="1" applyAlignment="1">
      <alignment horizontal="right"/>
    </xf>
    <xf numFmtId="165" fontId="23" fillId="4" borderId="1" xfId="0" applyNumberFormat="1" applyFont="1" applyFill="1" applyBorder="1" applyAlignment="1">
      <alignment horizontal="right"/>
    </xf>
    <xf numFmtId="0" fontId="23" fillId="10" borderId="1" xfId="0" applyFont="1" applyFill="1" applyBorder="1" applyAlignment="1">
      <alignment horizontal="left"/>
    </xf>
    <xf numFmtId="165" fontId="3" fillId="10" borderId="1" xfId="0" applyNumberFormat="1" applyFont="1" applyFill="1" applyBorder="1" applyAlignment="1">
      <alignment horizontal="right"/>
    </xf>
    <xf numFmtId="165" fontId="23" fillId="10" borderId="1" xfId="0" applyNumberFormat="1" applyFont="1" applyFill="1" applyBorder="1" applyAlignment="1">
      <alignment horizontal="right"/>
    </xf>
    <xf numFmtId="169" fontId="15" fillId="0" borderId="0" xfId="0" applyNumberFormat="1" applyFont="1" applyAlignment="1">
      <alignment horizontal="right"/>
    </xf>
    <xf numFmtId="164" fontId="15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0" fontId="16" fillId="0" borderId="1" xfId="0" applyFont="1" applyBorder="1" applyAlignment="1">
      <alignment horizontal="left"/>
    </xf>
    <xf numFmtId="165" fontId="14" fillId="0" borderId="1" xfId="0" applyNumberFormat="1" applyFont="1" applyBorder="1" applyAlignment="1">
      <alignment horizontal="right"/>
    </xf>
    <xf numFmtId="165" fontId="16" fillId="0" borderId="1" xfId="0" applyNumberFormat="1" applyFont="1" applyBorder="1" applyAlignment="1">
      <alignment horizontal="right"/>
    </xf>
    <xf numFmtId="165" fontId="23" fillId="0" borderId="0" xfId="0" applyNumberFormat="1" applyFont="1" applyAlignment="1">
      <alignment horizontal="right"/>
    </xf>
    <xf numFmtId="169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0" fontId="23" fillId="0" borderId="1" xfId="0" applyFont="1" applyBorder="1" applyAlignment="1">
      <alignment horizontal="left"/>
    </xf>
    <xf numFmtId="165" fontId="23" fillId="0" borderId="1" xfId="0" applyNumberFormat="1" applyFont="1" applyBorder="1" applyAlignment="1">
      <alignment horizontal="right"/>
    </xf>
    <xf numFmtId="165" fontId="2" fillId="2" borderId="0" xfId="0" applyNumberFormat="1" applyFont="1" applyFill="1"/>
    <xf numFmtId="0" fontId="23" fillId="0" borderId="0" xfId="0" applyFont="1" applyAlignment="1">
      <alignment horizontal="left"/>
    </xf>
    <xf numFmtId="166" fontId="23" fillId="5" borderId="0" xfId="0" applyNumberFormat="1" applyFont="1" applyFill="1" applyAlignment="1">
      <alignment horizontal="right"/>
    </xf>
    <xf numFmtId="170" fontId="23" fillId="5" borderId="0" xfId="0" applyNumberFormat="1" applyFont="1" applyFill="1" applyAlignment="1">
      <alignment horizontal="right"/>
    </xf>
    <xf numFmtId="170" fontId="23" fillId="0" borderId="0" xfId="0" applyNumberFormat="1" applyFont="1" applyAlignment="1">
      <alignment horizontal="right"/>
    </xf>
    <xf numFmtId="165" fontId="0" fillId="0" borderId="0" xfId="0" applyNumberFormat="1"/>
    <xf numFmtId="165" fontId="23" fillId="5" borderId="0" xfId="0" applyNumberFormat="1" applyFont="1" applyFill="1" applyAlignment="1">
      <alignment horizontal="right"/>
    </xf>
    <xf numFmtId="10" fontId="23" fillId="5" borderId="0" xfId="1" applyNumberFormat="1" applyFont="1" applyFill="1" applyAlignment="1">
      <alignment horizontal="right"/>
    </xf>
    <xf numFmtId="165" fontId="2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5" fillId="0" borderId="0" xfId="0" applyNumberFormat="1" applyFont="1" applyAlignment="1">
      <alignment horizontal="right"/>
    </xf>
    <xf numFmtId="10" fontId="26" fillId="0" borderId="0" xfId="1" applyNumberFormat="1" applyFont="1"/>
    <xf numFmtId="167" fontId="26" fillId="0" borderId="0" xfId="0" applyNumberFormat="1" applyFont="1"/>
    <xf numFmtId="0" fontId="27" fillId="0" borderId="0" xfId="0" applyFont="1"/>
    <xf numFmtId="10" fontId="27" fillId="0" borderId="0" xfId="0" applyNumberFormat="1" applyFont="1"/>
    <xf numFmtId="171" fontId="27" fillId="0" borderId="0" xfId="0" applyNumberFormat="1" applyFont="1"/>
    <xf numFmtId="2" fontId="0" fillId="0" borderId="0" xfId="0" applyNumberFormat="1"/>
    <xf numFmtId="10" fontId="0" fillId="0" borderId="0" xfId="0" applyNumberFormat="1"/>
    <xf numFmtId="167" fontId="28" fillId="0" borderId="0" xfId="0" applyNumberFormat="1" applyFont="1"/>
    <xf numFmtId="10" fontId="32" fillId="0" borderId="0" xfId="1" applyNumberFormat="1"/>
    <xf numFmtId="0" fontId="29" fillId="12" borderId="2" xfId="0" applyFont="1" applyFill="1" applyBorder="1" applyAlignment="1">
      <alignment vertical="center"/>
    </xf>
    <xf numFmtId="0" fontId="30" fillId="10" borderId="2" xfId="0" applyFont="1" applyFill="1" applyBorder="1" applyAlignment="1">
      <alignment horizontal="center" vertical="center"/>
    </xf>
    <xf numFmtId="0" fontId="30" fillId="7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4" borderId="2" xfId="0" applyFont="1" applyFill="1" applyBorder="1" applyAlignment="1">
      <alignment horizontal="center" vertical="center"/>
    </xf>
    <xf numFmtId="164" fontId="30" fillId="10" borderId="2" xfId="0" applyNumberFormat="1" applyFont="1" applyFill="1" applyBorder="1" applyAlignment="1">
      <alignment horizontal="center" vertical="center"/>
    </xf>
    <xf numFmtId="164" fontId="30" fillId="7" borderId="2" xfId="0" applyNumberFormat="1" applyFont="1" applyFill="1" applyBorder="1" applyAlignment="1">
      <alignment horizontal="center" vertical="center"/>
    </xf>
    <xf numFmtId="164" fontId="30" fillId="13" borderId="2" xfId="0" applyNumberFormat="1" applyFont="1" applyFill="1" applyBorder="1" applyAlignment="1">
      <alignment horizontal="center" vertical="center"/>
    </xf>
    <xf numFmtId="164" fontId="30" fillId="14" borderId="2" xfId="0" applyNumberFormat="1" applyFont="1" applyFill="1" applyBorder="1" applyAlignment="1">
      <alignment horizontal="center" vertical="center"/>
    </xf>
    <xf numFmtId="10" fontId="31" fillId="10" borderId="2" xfId="0" applyNumberFormat="1" applyFont="1" applyFill="1" applyBorder="1" applyAlignment="1">
      <alignment horizontal="center" vertical="center"/>
    </xf>
    <xf numFmtId="10" fontId="31" fillId="7" borderId="2" xfId="0" applyNumberFormat="1" applyFont="1" applyFill="1" applyBorder="1" applyAlignment="1">
      <alignment horizontal="center" vertical="center"/>
    </xf>
    <xf numFmtId="10" fontId="31" fillId="13" borderId="2" xfId="0" applyNumberFormat="1" applyFont="1" applyFill="1" applyBorder="1" applyAlignment="1">
      <alignment horizontal="center" vertical="center"/>
    </xf>
    <xf numFmtId="10" fontId="31" fillId="14" borderId="2" xfId="0" applyNumberFormat="1" applyFont="1" applyFill="1" applyBorder="1" applyAlignment="1">
      <alignment horizontal="center" vertical="center"/>
    </xf>
    <xf numFmtId="170" fontId="31" fillId="10" borderId="2" xfId="0" applyNumberFormat="1" applyFont="1" applyFill="1" applyBorder="1" applyAlignment="1">
      <alignment horizontal="center" vertical="center"/>
    </xf>
    <xf numFmtId="170" fontId="31" fillId="7" borderId="2" xfId="0" applyNumberFormat="1" applyFont="1" applyFill="1" applyBorder="1" applyAlignment="1">
      <alignment horizontal="center" vertical="center"/>
    </xf>
    <xf numFmtId="170" fontId="31" fillId="13" borderId="2" xfId="0" applyNumberFormat="1" applyFont="1" applyFill="1" applyBorder="1" applyAlignment="1">
      <alignment horizontal="center" vertical="center"/>
    </xf>
    <xf numFmtId="170" fontId="31" fillId="14" borderId="2" xfId="0" applyNumberFormat="1" applyFont="1" applyFill="1" applyBorder="1" applyAlignment="1">
      <alignment horizontal="center" vertical="center"/>
    </xf>
    <xf numFmtId="2" fontId="31" fillId="10" borderId="2" xfId="0" applyNumberFormat="1" applyFont="1" applyFill="1" applyBorder="1" applyAlignment="1">
      <alignment horizontal="center" vertical="center"/>
    </xf>
    <xf numFmtId="2" fontId="31" fillId="7" borderId="2" xfId="0" applyNumberFormat="1" applyFont="1" applyFill="1" applyBorder="1" applyAlignment="1">
      <alignment horizontal="center" vertical="center"/>
    </xf>
    <xf numFmtId="2" fontId="31" fillId="13" borderId="2" xfId="0" applyNumberFormat="1" applyFont="1" applyFill="1" applyBorder="1" applyAlignment="1">
      <alignment horizontal="center" vertical="center"/>
    </xf>
    <xf numFmtId="2" fontId="31" fillId="1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5E0B4"/>
      <rgbColor rgb="FF808080"/>
      <rgbColor rgb="FF7F7F7F"/>
      <rgbColor rgb="FF7030A0"/>
      <rgbColor rgb="FFFFF2CC"/>
      <rgbColor rgb="FFD9F0EE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A"/>
      <rgbColor rgb="FFE7E6E6"/>
      <rgbColor rgb="FFFFD966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BF9000"/>
      <rgbColor rgb="FFC55A11"/>
      <rgbColor rgb="FF666666"/>
      <rgbColor rgb="FFA6A6A6"/>
      <rgbColor rgb="FF0B1F33"/>
      <rgbColor rgb="FF70AD47"/>
      <rgbColor rgb="FF003300"/>
      <rgbColor rgb="FF333300"/>
      <rgbColor rgb="FF993300"/>
      <rgbColor rgb="FF993366"/>
      <rgbColor rgb="FF2F5597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48235"/>
  </sheetPr>
  <dimension ref="A1:H60"/>
  <sheetViews>
    <sheetView showGridLines="0" zoomScaleNormal="100" workbookViewId="0">
      <selection activeCell="D13" sqref="D13"/>
    </sheetView>
  </sheetViews>
  <sheetFormatPr defaultColWidth="8.6796875" defaultRowHeight="14.75" x14ac:dyDescent="0.75"/>
  <cols>
    <col min="1" max="1" width="34" customWidth="1"/>
    <col min="2" max="2" width="18" customWidth="1"/>
    <col min="3" max="3" width="12" customWidth="1"/>
    <col min="4" max="4" width="19.86328125" customWidth="1"/>
    <col min="5" max="5" width="24.86328125" customWidth="1"/>
    <col min="6" max="7" width="13" customWidth="1"/>
    <col min="8" max="37" width="12" customWidth="1"/>
  </cols>
  <sheetData>
    <row r="1" spans="1:8" x14ac:dyDescent="0.75">
      <c r="A1" s="5"/>
      <c r="B1" s="5"/>
      <c r="C1" s="5"/>
      <c r="D1" s="5"/>
      <c r="E1" s="5"/>
      <c r="F1" s="5"/>
      <c r="G1" s="5"/>
      <c r="H1" s="5"/>
    </row>
    <row r="2" spans="1:8" x14ac:dyDescent="0.75">
      <c r="A2" s="6" t="s">
        <v>0</v>
      </c>
      <c r="B2" s="7"/>
      <c r="D2" s="5"/>
      <c r="E2" s="5"/>
      <c r="F2" s="5"/>
      <c r="G2" s="5"/>
      <c r="H2" s="5"/>
    </row>
    <row r="3" spans="1:8" x14ac:dyDescent="0.75">
      <c r="A3" s="8" t="s">
        <v>1</v>
      </c>
      <c r="B3" s="9">
        <v>46023</v>
      </c>
      <c r="C3" s="5"/>
      <c r="D3" s="10"/>
      <c r="E3" s="10"/>
      <c r="F3" s="10"/>
      <c r="G3" s="10"/>
      <c r="H3" s="5"/>
    </row>
    <row r="4" spans="1:8" x14ac:dyDescent="0.75">
      <c r="A4" s="8" t="s">
        <v>2</v>
      </c>
      <c r="B4" s="11">
        <f>+$B$40</f>
        <v>22</v>
      </c>
      <c r="C4" s="5"/>
      <c r="D4" s="10"/>
      <c r="E4" s="10"/>
      <c r="F4" s="10"/>
      <c r="G4" s="10"/>
      <c r="H4" s="5"/>
    </row>
    <row r="5" spans="1:8" x14ac:dyDescent="0.75">
      <c r="A5" s="8" t="s">
        <v>3</v>
      </c>
      <c r="B5" s="12" t="s">
        <v>4</v>
      </c>
      <c r="C5" s="5"/>
      <c r="D5" s="13"/>
      <c r="E5" s="14"/>
      <c r="G5" s="5"/>
      <c r="H5" s="5"/>
    </row>
    <row r="6" spans="1:8" x14ac:dyDescent="0.75">
      <c r="A6" s="15"/>
      <c r="B6" s="5"/>
      <c r="C6" s="5"/>
      <c r="D6" s="13"/>
      <c r="E6" s="10"/>
      <c r="F6" s="16"/>
      <c r="G6" s="5"/>
      <c r="H6" s="5"/>
    </row>
    <row r="7" spans="1:8" x14ac:dyDescent="0.75">
      <c r="A7" s="6" t="s">
        <v>5</v>
      </c>
      <c r="B7" s="7"/>
      <c r="D7" s="13"/>
      <c r="E7" s="10"/>
      <c r="F7" s="16"/>
      <c r="G7" s="5"/>
      <c r="H7" s="5"/>
    </row>
    <row r="8" spans="1:8" x14ac:dyDescent="0.75">
      <c r="A8" s="8" t="s">
        <v>6</v>
      </c>
      <c r="B8" s="17">
        <v>50</v>
      </c>
      <c r="C8" s="5"/>
      <c r="D8" s="13"/>
      <c r="E8" s="10"/>
      <c r="F8" s="16"/>
      <c r="G8" s="5"/>
      <c r="H8" s="5"/>
    </row>
    <row r="9" spans="1:8" x14ac:dyDescent="0.75">
      <c r="A9" s="8" t="s">
        <v>7</v>
      </c>
      <c r="B9" s="17">
        <v>0.98</v>
      </c>
      <c r="C9" s="5"/>
      <c r="D9" s="13"/>
      <c r="E9" s="10"/>
      <c r="F9" s="16"/>
      <c r="G9" s="5"/>
      <c r="H9" s="5"/>
    </row>
    <row r="10" spans="1:8" x14ac:dyDescent="0.75">
      <c r="A10" s="8" t="s">
        <v>8</v>
      </c>
      <c r="B10" s="18">
        <f>B8*B9</f>
        <v>49</v>
      </c>
      <c r="C10" s="5"/>
      <c r="D10" s="13"/>
      <c r="E10" s="10"/>
      <c r="F10" s="16"/>
      <c r="G10" s="5"/>
      <c r="H10" s="5"/>
    </row>
    <row r="11" spans="1:8" x14ac:dyDescent="0.75">
      <c r="A11" s="8" t="s">
        <v>9</v>
      </c>
      <c r="B11" s="17">
        <v>1</v>
      </c>
      <c r="C11" s="5"/>
      <c r="D11" s="13"/>
      <c r="E11" s="10"/>
      <c r="F11" s="16"/>
      <c r="G11" s="5"/>
      <c r="H11" s="5"/>
    </row>
    <row r="12" spans="1:8" x14ac:dyDescent="0.75">
      <c r="A12" s="8" t="s">
        <v>10</v>
      </c>
      <c r="B12" s="17">
        <v>1</v>
      </c>
      <c r="C12" s="5"/>
      <c r="D12" s="13"/>
      <c r="E12" s="14"/>
      <c r="G12" s="5"/>
      <c r="H12" s="5"/>
    </row>
    <row r="13" spans="1:8" x14ac:dyDescent="0.75">
      <c r="A13" s="8" t="s">
        <v>11</v>
      </c>
      <c r="B13" s="17">
        <v>45</v>
      </c>
      <c r="C13" s="5"/>
      <c r="D13" s="13"/>
      <c r="E13" s="14"/>
      <c r="G13" s="5"/>
      <c r="H13" s="5"/>
    </row>
    <row r="14" spans="1:8" x14ac:dyDescent="0.75">
      <c r="A14" s="8" t="s">
        <v>12</v>
      </c>
      <c r="B14" s="17">
        <v>6</v>
      </c>
      <c r="C14" s="5"/>
      <c r="D14" s="13"/>
      <c r="E14" s="10"/>
      <c r="F14" s="16"/>
      <c r="G14" s="5"/>
      <c r="H14" s="5"/>
    </row>
    <row r="15" spans="1:8" x14ac:dyDescent="0.75">
      <c r="A15" s="8" t="s">
        <v>13</v>
      </c>
      <c r="B15" s="18">
        <f>SUM(B13:B14)</f>
        <v>51</v>
      </c>
      <c r="C15" s="5"/>
      <c r="D15" s="5"/>
      <c r="E15" s="5"/>
      <c r="F15" s="5"/>
      <c r="G15" s="5"/>
      <c r="H15" s="5"/>
    </row>
    <row r="16" spans="1:8" x14ac:dyDescent="0.75">
      <c r="A16" s="19" t="s">
        <v>14</v>
      </c>
      <c r="B16" s="20">
        <f>B13/B15</f>
        <v>0.88235294117647056</v>
      </c>
      <c r="C16" s="5"/>
      <c r="D16" s="5"/>
      <c r="E16" s="5"/>
      <c r="F16" s="5"/>
      <c r="G16" s="5"/>
      <c r="H16" s="5"/>
    </row>
    <row r="17" spans="1:8" x14ac:dyDescent="0.75">
      <c r="A17" s="19" t="s">
        <v>15</v>
      </c>
      <c r="B17" s="20">
        <f>B14/B15</f>
        <v>0.11764705882352941</v>
      </c>
      <c r="C17" s="5"/>
      <c r="D17" s="5"/>
      <c r="E17" s="5"/>
      <c r="F17" s="5"/>
      <c r="G17" s="5"/>
      <c r="H17" s="5"/>
    </row>
    <row r="18" spans="1:8" x14ac:dyDescent="0.75">
      <c r="A18" s="8" t="s">
        <v>16</v>
      </c>
      <c r="B18" s="17">
        <v>7</v>
      </c>
      <c r="C18" s="5"/>
      <c r="D18" s="5"/>
      <c r="E18" s="5"/>
      <c r="F18" s="5"/>
      <c r="G18" s="5"/>
      <c r="H18" s="5"/>
    </row>
    <row r="19" spans="1:8" x14ac:dyDescent="0.75">
      <c r="A19" s="8" t="s">
        <v>17</v>
      </c>
      <c r="B19" s="18">
        <f>B37</f>
        <v>10</v>
      </c>
      <c r="C19" s="5"/>
      <c r="D19" s="5"/>
      <c r="E19" s="5"/>
      <c r="F19" s="5"/>
      <c r="G19" s="5"/>
      <c r="H19" s="5"/>
    </row>
    <row r="20" spans="1:8" x14ac:dyDescent="0.75">
      <c r="A20" s="8" t="s">
        <v>18</v>
      </c>
      <c r="B20" s="18">
        <f>B16*B19</f>
        <v>8.8235294117647065</v>
      </c>
      <c r="C20" s="5"/>
      <c r="D20" s="5"/>
      <c r="E20" s="5"/>
      <c r="F20" s="5"/>
      <c r="G20" s="5"/>
      <c r="H20" s="5"/>
    </row>
    <row r="21" spans="1:8" x14ac:dyDescent="0.75">
      <c r="A21" s="8" t="s">
        <v>19</v>
      </c>
      <c r="B21" s="18">
        <f>B17*B19</f>
        <v>1.1764705882352942</v>
      </c>
      <c r="C21" s="5"/>
      <c r="D21" s="5"/>
      <c r="E21" s="5"/>
      <c r="F21" s="5"/>
      <c r="G21" s="5"/>
      <c r="H21" s="5"/>
    </row>
    <row r="22" spans="1:8" x14ac:dyDescent="0.75">
      <c r="A22" s="8" t="s">
        <v>20</v>
      </c>
      <c r="B22" s="17">
        <v>1</v>
      </c>
      <c r="C22" s="5"/>
      <c r="D22" s="5"/>
      <c r="E22" s="5"/>
      <c r="F22" s="5"/>
      <c r="G22" s="5"/>
      <c r="H22" s="5"/>
    </row>
    <row r="23" spans="1:8" x14ac:dyDescent="0.75">
      <c r="A23" s="15"/>
      <c r="B23" s="5"/>
      <c r="C23" s="5"/>
      <c r="D23" s="5"/>
      <c r="E23" s="5"/>
      <c r="F23" s="5"/>
      <c r="G23" s="5"/>
      <c r="H23" s="5"/>
    </row>
    <row r="24" spans="1:8" x14ac:dyDescent="0.75">
      <c r="A24" s="15"/>
      <c r="B24" s="5"/>
      <c r="C24" s="5"/>
      <c r="D24" s="5"/>
      <c r="E24" s="5"/>
      <c r="F24" s="5"/>
      <c r="G24" s="5"/>
      <c r="H24" s="5"/>
    </row>
    <row r="25" spans="1:8" x14ac:dyDescent="0.75">
      <c r="A25" s="6" t="s">
        <v>21</v>
      </c>
      <c r="B25" s="7"/>
      <c r="C25" s="7"/>
      <c r="D25" s="7"/>
      <c r="E25" s="7"/>
      <c r="F25" s="7"/>
      <c r="G25" s="7"/>
      <c r="H25" s="7"/>
    </row>
    <row r="26" spans="1:8" x14ac:dyDescent="0.75">
      <c r="A26" s="21" t="s">
        <v>22</v>
      </c>
      <c r="B26" s="22" t="s">
        <v>23</v>
      </c>
      <c r="C26" s="5"/>
      <c r="D26" s="5"/>
      <c r="E26" s="5"/>
      <c r="F26" s="23" t="s">
        <v>4</v>
      </c>
      <c r="G26" s="23" t="s">
        <v>24</v>
      </c>
      <c r="H26" s="23" t="s">
        <v>25</v>
      </c>
    </row>
    <row r="27" spans="1:8" x14ac:dyDescent="0.75">
      <c r="A27" s="8" t="s">
        <v>26</v>
      </c>
      <c r="B27" s="24">
        <f>INDEX($F$27:$H$27,1,MATCH($B$5,$F$26:$H$26,0))</f>
        <v>0.1125</v>
      </c>
      <c r="C27" s="5"/>
      <c r="D27" s="5"/>
      <c r="E27" s="25" t="s">
        <v>26</v>
      </c>
      <c r="F27" s="26">
        <v>0.1125</v>
      </c>
      <c r="G27" s="26">
        <v>0.125</v>
      </c>
      <c r="H27" s="26">
        <v>0.1075</v>
      </c>
    </row>
    <row r="28" spans="1:8" x14ac:dyDescent="0.75">
      <c r="A28" s="8" t="s">
        <v>27</v>
      </c>
      <c r="B28" s="24">
        <f>INDEX($F$28:$H$28,1,MATCH($B$5,$F$26:$H$26,0))</f>
        <v>0.02</v>
      </c>
      <c r="C28" s="5"/>
      <c r="D28" s="5"/>
      <c r="E28" s="25" t="s">
        <v>28</v>
      </c>
      <c r="F28" s="26">
        <v>0.02</v>
      </c>
      <c r="G28" s="26">
        <v>1.7999999999999999E-2</v>
      </c>
      <c r="H28" s="26">
        <v>2.1999999999999999E-2</v>
      </c>
    </row>
    <row r="29" spans="1:8" x14ac:dyDescent="0.75">
      <c r="A29" s="8" t="s">
        <v>29</v>
      </c>
      <c r="B29" s="27">
        <f>INDEX($F$29:$H$29,1,MATCH($B$5,$F$26:$H$26,0))</f>
        <v>2.1</v>
      </c>
      <c r="C29" s="5"/>
      <c r="D29" s="5"/>
      <c r="E29" s="25" t="s">
        <v>29</v>
      </c>
      <c r="F29" s="28">
        <v>2.1</v>
      </c>
      <c r="G29" s="28">
        <v>2.2000000000000002</v>
      </c>
      <c r="H29" s="28">
        <v>2</v>
      </c>
    </row>
    <row r="30" spans="1:8" x14ac:dyDescent="0.75">
      <c r="A30" s="8" t="s">
        <v>30</v>
      </c>
      <c r="B30" s="24">
        <f>INDEX($F$30:$H$30,1,MATCH($B$5,$F$26:$H$26,0))</f>
        <v>0.92</v>
      </c>
      <c r="C30" s="5"/>
      <c r="D30" s="5"/>
      <c r="E30" s="25" t="s">
        <v>31</v>
      </c>
      <c r="F30" s="26">
        <v>0.92</v>
      </c>
      <c r="G30" s="26">
        <v>0.94</v>
      </c>
      <c r="H30" s="26">
        <v>0.88</v>
      </c>
    </row>
    <row r="31" spans="1:8" x14ac:dyDescent="0.75">
      <c r="A31" s="8" t="s">
        <v>32</v>
      </c>
      <c r="B31" s="24">
        <f>INDEX($F$31:$H$31,1,MATCH($B$5,$F$26:$H$26,0))</f>
        <v>0.01</v>
      </c>
      <c r="C31" s="5"/>
      <c r="D31" s="5"/>
      <c r="E31" s="25" t="s">
        <v>32</v>
      </c>
      <c r="F31" s="26">
        <v>0.01</v>
      </c>
      <c r="G31" s="26">
        <v>0.01</v>
      </c>
      <c r="H31" s="26">
        <v>0.01</v>
      </c>
    </row>
    <row r="32" spans="1:8" x14ac:dyDescent="0.75">
      <c r="A32" s="8" t="s">
        <v>33</v>
      </c>
      <c r="B32" s="24">
        <f>INDEX($F$32:$H$32,1,MATCH($B$5,$F$26:$H$26,0))</f>
        <v>8.9999999999999993E-3</v>
      </c>
      <c r="C32" s="5"/>
      <c r="D32" s="5"/>
      <c r="E32" s="25" t="s">
        <v>33</v>
      </c>
      <c r="F32" s="26">
        <v>8.9999999999999993E-3</v>
      </c>
      <c r="G32" s="26">
        <v>8.9999999999999993E-3</v>
      </c>
      <c r="H32" s="26">
        <v>8.9999999999999993E-3</v>
      </c>
    </row>
    <row r="33" spans="1:8" x14ac:dyDescent="0.75">
      <c r="A33" s="8" t="s">
        <v>34</v>
      </c>
      <c r="B33" s="24">
        <f>INDEX($F$33:$H$33,1,MATCH($B$5,$F$26:$H$26,0))</f>
        <v>3.5000000000000001E-3</v>
      </c>
      <c r="C33" s="5"/>
      <c r="D33" s="5"/>
      <c r="E33" s="25" t="s">
        <v>34</v>
      </c>
      <c r="F33" s="26">
        <v>3.5000000000000001E-3</v>
      </c>
      <c r="G33" s="26">
        <v>3.5000000000000001E-3</v>
      </c>
      <c r="H33" s="26">
        <v>3.5000000000000001E-3</v>
      </c>
    </row>
    <row r="34" spans="1:8" x14ac:dyDescent="0.75">
      <c r="A34" s="8" t="s">
        <v>35</v>
      </c>
      <c r="B34" s="29">
        <f>INDEX($F$34:$H$34,1,MATCH($B$5,$F$26:$H$26,0))</f>
        <v>0.02</v>
      </c>
      <c r="C34" s="5"/>
      <c r="D34" s="5"/>
      <c r="E34" s="25" t="s">
        <v>35</v>
      </c>
      <c r="F34" s="30">
        <v>0.02</v>
      </c>
      <c r="G34" s="30">
        <v>0.02</v>
      </c>
      <c r="H34" s="30">
        <v>0.02</v>
      </c>
    </row>
    <row r="35" spans="1:8" x14ac:dyDescent="0.75">
      <c r="A35" s="8" t="s">
        <v>36</v>
      </c>
      <c r="B35" s="24">
        <f>INDEX($F$35:$H$35,1,MATCH($B$5,$F$26:$H$26,0))</f>
        <v>0.8</v>
      </c>
      <c r="C35" s="5"/>
      <c r="D35" s="5"/>
      <c r="E35" s="25" t="s">
        <v>36</v>
      </c>
      <c r="F35" s="26">
        <v>0.8</v>
      </c>
      <c r="G35" s="26">
        <v>1</v>
      </c>
      <c r="H35" s="26">
        <v>0.5</v>
      </c>
    </row>
    <row r="36" spans="1:8" x14ac:dyDescent="0.75">
      <c r="A36" s="8" t="s">
        <v>37</v>
      </c>
      <c r="B36" s="24">
        <f>INDEX($F$36:$H$36,1,MATCH($B$5,$F$26:$H$26,0))</f>
        <v>0.98499999999999999</v>
      </c>
      <c r="C36" s="5"/>
      <c r="D36" s="5"/>
      <c r="E36" s="25" t="s">
        <v>37</v>
      </c>
      <c r="F36" s="26">
        <v>0.98499999999999999</v>
      </c>
      <c r="G36" s="26">
        <v>0.99</v>
      </c>
      <c r="H36" s="26">
        <v>0.97499999999999998</v>
      </c>
    </row>
    <row r="37" spans="1:8" ht="13.5" customHeight="1" x14ac:dyDescent="0.75">
      <c r="A37" s="8" t="s">
        <v>38</v>
      </c>
      <c r="B37" s="29">
        <f>INDEX($F$37:$H$37,1,MATCH($B$5,$F$26:$H$26,0))</f>
        <v>10</v>
      </c>
      <c r="C37" s="5"/>
      <c r="D37" s="5"/>
      <c r="E37" s="25" t="s">
        <v>38</v>
      </c>
      <c r="F37" s="30">
        <v>10</v>
      </c>
      <c r="G37" s="30">
        <v>10</v>
      </c>
      <c r="H37" s="30">
        <v>10</v>
      </c>
    </row>
    <row r="38" spans="1:8" ht="13.5" customHeight="1" x14ac:dyDescent="0.75">
      <c r="A38" s="8" t="s">
        <v>39</v>
      </c>
      <c r="B38" s="29">
        <f>INDEX($F$38:$H$38,1,MATCH($B$5,$F$26:$H$26,0))</f>
        <v>6</v>
      </c>
      <c r="C38" s="5"/>
      <c r="D38" s="5"/>
      <c r="E38" s="25" t="s">
        <v>39</v>
      </c>
      <c r="F38" s="30">
        <v>6</v>
      </c>
      <c r="G38" s="30">
        <v>6</v>
      </c>
      <c r="H38" s="30">
        <v>6</v>
      </c>
    </row>
    <row r="39" spans="1:8" ht="13.5" customHeight="1" x14ac:dyDescent="0.75">
      <c r="A39" s="8" t="s">
        <v>40</v>
      </c>
      <c r="B39" s="29">
        <f>INDEX($F$39:$H$39,1,MATCH($B$5,$F$26:$H$26,0))</f>
        <v>0</v>
      </c>
      <c r="C39" s="5"/>
      <c r="D39" s="5"/>
      <c r="E39" s="25" t="s">
        <v>40</v>
      </c>
      <c r="F39" s="30">
        <v>0</v>
      </c>
      <c r="G39" s="30">
        <v>5</v>
      </c>
      <c r="H39" s="30">
        <v>0</v>
      </c>
    </row>
    <row r="40" spans="1:8" x14ac:dyDescent="0.75">
      <c r="A40" s="8" t="s">
        <v>41</v>
      </c>
      <c r="B40" s="11">
        <f>INDEX($F$40:$H$40,1,MATCH($B$5,$F$26:$H$26,0))</f>
        <v>22</v>
      </c>
      <c r="C40" s="5"/>
      <c r="D40" s="5"/>
      <c r="E40" s="25" t="s">
        <v>41</v>
      </c>
      <c r="F40" s="31">
        <v>22</v>
      </c>
      <c r="G40" s="31">
        <v>24</v>
      </c>
      <c r="H40" s="31">
        <v>22</v>
      </c>
    </row>
    <row r="42" spans="1:8" x14ac:dyDescent="0.75">
      <c r="A42" s="6" t="s">
        <v>42</v>
      </c>
      <c r="B42" s="6"/>
    </row>
    <row r="43" spans="1:8" x14ac:dyDescent="0.75">
      <c r="A43" s="32" t="s">
        <v>43</v>
      </c>
      <c r="B43" s="17">
        <v>1</v>
      </c>
      <c r="C43" s="33"/>
    </row>
    <row r="44" spans="1:8" x14ac:dyDescent="0.75">
      <c r="A44" s="32" t="s">
        <v>44</v>
      </c>
      <c r="B44" s="34">
        <v>9.4999999999999998E-3</v>
      </c>
      <c r="C44" s="33"/>
    </row>
    <row r="45" spans="1:8" x14ac:dyDescent="0.75">
      <c r="A45" s="32" t="s">
        <v>45</v>
      </c>
      <c r="B45" s="17">
        <v>1.05</v>
      </c>
      <c r="C45" s="33"/>
    </row>
    <row r="46" spans="1:8" x14ac:dyDescent="0.75">
      <c r="A46" s="32" t="s">
        <v>46</v>
      </c>
      <c r="B46" s="35">
        <v>2.0499999999999998</v>
      </c>
      <c r="C46" s="33"/>
    </row>
    <row r="47" spans="1:8" x14ac:dyDescent="0.75">
      <c r="A47" s="32" t="s">
        <v>47</v>
      </c>
      <c r="B47" s="34">
        <v>1.8E-3</v>
      </c>
      <c r="C47" s="33"/>
    </row>
    <row r="48" spans="1:8" x14ac:dyDescent="0.75">
      <c r="A48" s="32" t="s">
        <v>48</v>
      </c>
      <c r="B48" s="17">
        <v>0.9</v>
      </c>
      <c r="C48" s="33"/>
    </row>
    <row r="49" spans="1:8" x14ac:dyDescent="0.75">
      <c r="A49" s="32" t="s">
        <v>49</v>
      </c>
      <c r="B49" s="34">
        <v>0.09</v>
      </c>
      <c r="C49" s="33"/>
    </row>
    <row r="50" spans="1:8" x14ac:dyDescent="0.75">
      <c r="A50" s="32" t="s">
        <v>50</v>
      </c>
      <c r="B50" s="35">
        <v>2.2000000000000002</v>
      </c>
      <c r="C50" s="33"/>
    </row>
    <row r="51" spans="1:8" x14ac:dyDescent="0.75">
      <c r="A51" s="32" t="s">
        <v>51</v>
      </c>
      <c r="B51" s="34">
        <v>1.1999999999999999E-3</v>
      </c>
      <c r="C51" s="33"/>
    </row>
    <row r="53" spans="1:8" x14ac:dyDescent="0.75">
      <c r="A53" s="6" t="s">
        <v>52</v>
      </c>
      <c r="B53" s="6"/>
    </row>
    <row r="54" spans="1:8" x14ac:dyDescent="0.75">
      <c r="A54" s="21" t="s">
        <v>53</v>
      </c>
      <c r="B54" s="22" t="s">
        <v>36</v>
      </c>
    </row>
    <row r="55" spans="1:8" x14ac:dyDescent="0.75">
      <c r="A55" s="32" t="s">
        <v>54</v>
      </c>
      <c r="B55" s="34">
        <v>1</v>
      </c>
    </row>
    <row r="56" spans="1:8" x14ac:dyDescent="0.75">
      <c r="A56" s="32" t="s">
        <v>55</v>
      </c>
      <c r="B56" s="34">
        <v>0.8</v>
      </c>
    </row>
    <row r="57" spans="1:8" x14ac:dyDescent="0.75">
      <c r="A57" s="32" t="s">
        <v>56</v>
      </c>
      <c r="B57" s="34">
        <v>0.5</v>
      </c>
    </row>
    <row r="58" spans="1:8" x14ac:dyDescent="0.75">
      <c r="A58" s="32" t="s">
        <v>57</v>
      </c>
      <c r="B58" s="34">
        <v>0</v>
      </c>
    </row>
    <row r="60" spans="1:8" s="38" customFormat="1" ht="18" customHeight="1" x14ac:dyDescent="0.9">
      <c r="A60" s="36" t="s">
        <v>58</v>
      </c>
      <c r="B60" s="37"/>
      <c r="C60" s="37"/>
      <c r="D60" s="37"/>
      <c r="E60" s="37"/>
      <c r="F60" s="37"/>
      <c r="G60" s="37"/>
      <c r="H60" s="37"/>
    </row>
  </sheetData>
  <dataValidations count="1">
    <dataValidation type="list" sqref="B5" xr:uid="{00000000-0002-0000-0000-000000000000}">
      <formula1>"Base,Upside,Downside"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9"/>
  <sheetViews>
    <sheetView showGridLines="0" zoomScaleNormal="100" workbookViewId="0">
      <selection activeCell="E13" sqref="E13"/>
    </sheetView>
  </sheetViews>
  <sheetFormatPr defaultColWidth="8.6796875" defaultRowHeight="14.75" x14ac:dyDescent="0.75"/>
  <cols>
    <col min="1" max="1" width="34" customWidth="1"/>
    <col min="2" max="2" width="13.1328125" customWidth="1"/>
    <col min="3" max="39" width="12" customWidth="1"/>
  </cols>
  <sheetData>
    <row r="1" spans="1:6" x14ac:dyDescent="0.75">
      <c r="A1" s="15"/>
      <c r="B1" s="5"/>
      <c r="C1" s="5"/>
      <c r="D1" s="5"/>
      <c r="E1" s="5"/>
      <c r="F1" s="5"/>
    </row>
    <row r="2" spans="1:6" x14ac:dyDescent="0.75">
      <c r="A2" s="6" t="s">
        <v>59</v>
      </c>
      <c r="B2" s="6"/>
      <c r="C2" s="5"/>
      <c r="D2" s="5"/>
      <c r="E2" s="5"/>
      <c r="F2" s="5"/>
    </row>
    <row r="3" spans="1:6" x14ac:dyDescent="0.75">
      <c r="A3" s="15"/>
      <c r="C3" s="5"/>
      <c r="D3" s="5"/>
      <c r="E3" s="5"/>
      <c r="F3" s="5"/>
    </row>
    <row r="4" spans="1:6" x14ac:dyDescent="0.75">
      <c r="A4" s="21" t="s">
        <v>60</v>
      </c>
      <c r="B4" s="22" t="s">
        <v>61</v>
      </c>
      <c r="C4" s="5"/>
      <c r="D4" s="5"/>
      <c r="E4" s="5"/>
      <c r="F4" s="5"/>
    </row>
    <row r="5" spans="1:6" x14ac:dyDescent="0.75">
      <c r="A5" s="39" t="s">
        <v>62</v>
      </c>
      <c r="B5" s="40">
        <f>Assumptions!$B$10</f>
        <v>49</v>
      </c>
      <c r="C5" s="5"/>
      <c r="D5" s="5"/>
      <c r="E5" s="5"/>
      <c r="F5" s="5"/>
    </row>
    <row r="6" spans="1:6" x14ac:dyDescent="0.75">
      <c r="A6" s="39" t="s">
        <v>63</v>
      </c>
      <c r="B6" s="40">
        <f>+Assumptions!$B$11</f>
        <v>1</v>
      </c>
      <c r="C6" s="5"/>
      <c r="D6" s="5"/>
      <c r="E6" s="5"/>
      <c r="F6" s="5"/>
    </row>
    <row r="7" spans="1:6" x14ac:dyDescent="0.75">
      <c r="A7" s="39" t="s">
        <v>10</v>
      </c>
      <c r="B7" s="40">
        <f>+Assumptions!$B$12</f>
        <v>1</v>
      </c>
      <c r="C7" s="5"/>
      <c r="D7" s="5"/>
      <c r="E7" s="5"/>
      <c r="F7" s="5"/>
    </row>
    <row r="8" spans="1:6" x14ac:dyDescent="0.75">
      <c r="A8" s="41" t="s">
        <v>64</v>
      </c>
      <c r="B8" s="42">
        <f>SUM(B5:B7)</f>
        <v>51</v>
      </c>
      <c r="C8" s="5"/>
      <c r="D8" s="5"/>
      <c r="E8" s="5"/>
      <c r="F8" s="5"/>
    </row>
    <row r="9" spans="1:6" x14ac:dyDescent="0.75">
      <c r="A9" s="15"/>
      <c r="B9" s="43"/>
      <c r="C9" s="5"/>
      <c r="D9" s="5"/>
      <c r="E9" s="5"/>
      <c r="F9" s="5"/>
    </row>
    <row r="10" spans="1:6" x14ac:dyDescent="0.75">
      <c r="A10" s="21" t="s">
        <v>65</v>
      </c>
      <c r="B10" s="22"/>
      <c r="C10" s="5"/>
      <c r="D10" s="5"/>
      <c r="E10" s="5"/>
      <c r="F10" s="5"/>
    </row>
    <row r="11" spans="1:6" x14ac:dyDescent="0.75">
      <c r="A11" s="39" t="s">
        <v>66</v>
      </c>
      <c r="B11" s="40">
        <f>+Assumptions!$B$13</f>
        <v>45</v>
      </c>
      <c r="C11" s="5"/>
      <c r="D11" s="5"/>
      <c r="E11" s="5"/>
      <c r="F11" s="5"/>
    </row>
    <row r="12" spans="1:6" x14ac:dyDescent="0.75">
      <c r="A12" s="39" t="s">
        <v>67</v>
      </c>
      <c r="B12" s="40">
        <f>+Assumptions!$B$14</f>
        <v>6</v>
      </c>
      <c r="C12" s="5"/>
      <c r="D12" s="5"/>
      <c r="E12" s="5"/>
      <c r="F12" s="5"/>
    </row>
    <row r="13" spans="1:6" x14ac:dyDescent="0.75">
      <c r="A13" s="41" t="s">
        <v>68</v>
      </c>
      <c r="B13" s="42">
        <f>SUM(B11:B12)</f>
        <v>51</v>
      </c>
      <c r="C13" s="5"/>
      <c r="D13" s="5"/>
      <c r="E13" s="5"/>
      <c r="F13" s="5"/>
    </row>
    <row r="14" spans="1:6" x14ac:dyDescent="0.75">
      <c r="A14" s="15"/>
      <c r="B14" s="43"/>
      <c r="C14" s="5"/>
      <c r="D14" s="5"/>
      <c r="E14" s="5"/>
      <c r="F14" s="5"/>
    </row>
    <row r="15" spans="1:6" x14ac:dyDescent="0.75">
      <c r="A15" s="44" t="s">
        <v>69</v>
      </c>
      <c r="B15" s="45">
        <f>B13-B8</f>
        <v>0</v>
      </c>
      <c r="C15" s="5"/>
      <c r="D15" s="5"/>
      <c r="E15" s="5"/>
      <c r="F15" s="5"/>
    </row>
    <row r="16" spans="1:6" x14ac:dyDescent="0.75">
      <c r="A16" s="39" t="s">
        <v>70</v>
      </c>
      <c r="B16" s="40">
        <f>B5</f>
        <v>49</v>
      </c>
      <c r="C16" s="5"/>
      <c r="D16" s="5"/>
      <c r="E16" s="5"/>
      <c r="F16" s="5"/>
    </row>
    <row r="17" spans="1:8" x14ac:dyDescent="0.75">
      <c r="A17" t="s">
        <v>71</v>
      </c>
      <c r="B17" s="40">
        <f>+B16-B12</f>
        <v>43</v>
      </c>
    </row>
    <row r="19" spans="1:8" x14ac:dyDescent="0.75">
      <c r="A19" s="46" t="s">
        <v>58</v>
      </c>
      <c r="B19" s="5"/>
      <c r="C19" s="5"/>
      <c r="D19" s="5"/>
      <c r="E19" s="5"/>
      <c r="F19" s="5"/>
      <c r="G19" s="5"/>
      <c r="H19" s="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71"/>
  <sheetViews>
    <sheetView showGridLines="0" topLeftCell="A3" zoomScaleNormal="100" workbookViewId="0">
      <pane xSplit="2" ySplit="5" topLeftCell="C35" activePane="bottomRight" state="frozen"/>
      <selection activeCell="A3" sqref="A3"/>
      <selection pane="topRight" activeCell="C3" sqref="C3"/>
      <selection pane="bottomLeft" activeCell="A35" sqref="A35"/>
      <selection pane="bottomRight" activeCell="C57" sqref="C57"/>
    </sheetView>
  </sheetViews>
  <sheetFormatPr defaultColWidth="8.6796875" defaultRowHeight="14.75" x14ac:dyDescent="0.75"/>
  <cols>
    <col min="1" max="1" width="31.40625" customWidth="1"/>
    <col min="2" max="2" width="6.54296875" customWidth="1"/>
    <col min="3" max="27" width="13.1328125" customWidth="1"/>
  </cols>
  <sheetData>
    <row r="1" spans="1:27" s="47" customFormat="1" ht="25.5" hidden="1" customHeight="1" x14ac:dyDescent="1.2">
      <c r="A1" s="4" t="s">
        <v>72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idden="1" x14ac:dyDescent="0.75">
      <c r="A2" s="1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9.5" customHeight="1" x14ac:dyDescent="0.95">
      <c r="A3" s="48" t="s">
        <v>4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0"/>
      <c r="Z3" s="50"/>
      <c r="AA3" s="5"/>
    </row>
    <row r="4" spans="1:27" x14ac:dyDescent="0.75">
      <c r="A4" s="6" t="s">
        <v>73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50"/>
      <c r="Z4" s="50"/>
    </row>
    <row r="5" spans="1:27" x14ac:dyDescent="0.75">
      <c r="A5" s="51"/>
      <c r="B5" s="51">
        <v>0</v>
      </c>
      <c r="C5" s="51">
        <v>1</v>
      </c>
      <c r="D5" s="51">
        <v>2</v>
      </c>
      <c r="E5" s="51">
        <v>3</v>
      </c>
      <c r="F5" s="51">
        <v>4</v>
      </c>
      <c r="G5" s="51">
        <v>5</v>
      </c>
      <c r="H5" s="51">
        <v>6</v>
      </c>
      <c r="I5" s="51">
        <v>7</v>
      </c>
      <c r="J5" s="51">
        <v>8</v>
      </c>
      <c r="K5" s="51">
        <v>9</v>
      </c>
      <c r="L5" s="51">
        <v>10</v>
      </c>
      <c r="M5" s="51">
        <v>11</v>
      </c>
      <c r="N5" s="51">
        <v>12</v>
      </c>
      <c r="O5" s="51">
        <v>13</v>
      </c>
      <c r="P5" s="51">
        <v>14</v>
      </c>
      <c r="Q5" s="51">
        <v>15</v>
      </c>
      <c r="R5" s="51">
        <v>16</v>
      </c>
      <c r="S5" s="51">
        <v>17</v>
      </c>
      <c r="T5" s="51">
        <v>18</v>
      </c>
      <c r="U5" s="51">
        <v>19</v>
      </c>
      <c r="V5" s="51">
        <v>20</v>
      </c>
      <c r="W5" s="51">
        <v>21</v>
      </c>
      <c r="X5" s="51">
        <v>22</v>
      </c>
      <c r="Y5" s="50"/>
      <c r="Z5" s="50"/>
    </row>
    <row r="6" spans="1:27" x14ac:dyDescent="0.75">
      <c r="A6" s="52"/>
      <c r="B6" s="52" t="s">
        <v>74</v>
      </c>
      <c r="C6" s="52">
        <v>46053</v>
      </c>
      <c r="D6" s="52">
        <v>46081</v>
      </c>
      <c r="E6" s="52">
        <v>46112</v>
      </c>
      <c r="F6" s="52">
        <v>46142</v>
      </c>
      <c r="G6" s="52">
        <v>46173</v>
      </c>
      <c r="H6" s="52">
        <v>46203</v>
      </c>
      <c r="I6" s="52">
        <v>46234</v>
      </c>
      <c r="J6" s="52">
        <v>46265</v>
      </c>
      <c r="K6" s="52">
        <v>46295</v>
      </c>
      <c r="L6" s="52">
        <v>46326</v>
      </c>
      <c r="M6" s="52">
        <v>46356</v>
      </c>
      <c r="N6" s="52">
        <v>46387</v>
      </c>
      <c r="O6" s="52">
        <v>46418</v>
      </c>
      <c r="P6" s="52">
        <v>46446</v>
      </c>
      <c r="Q6" s="52">
        <v>46477</v>
      </c>
      <c r="R6" s="52">
        <v>46507</v>
      </c>
      <c r="S6" s="52">
        <v>46538</v>
      </c>
      <c r="T6" s="52">
        <v>46568</v>
      </c>
      <c r="U6" s="52">
        <v>46599</v>
      </c>
      <c r="V6" s="52">
        <v>46630</v>
      </c>
      <c r="W6" s="52">
        <v>46660</v>
      </c>
      <c r="X6" s="52">
        <v>46691</v>
      </c>
      <c r="Y6" s="50"/>
      <c r="Z6" s="50"/>
    </row>
    <row r="7" spans="1:27" x14ac:dyDescent="0.75">
      <c r="A7" s="21" t="s">
        <v>75</v>
      </c>
      <c r="B7" s="53">
        <v>0</v>
      </c>
      <c r="C7" s="54">
        <f>IF(C$5=1,Assumptions!$B$8,B21)</f>
        <v>50</v>
      </c>
      <c r="D7" s="54">
        <f>IF(D$5=1,Assumptions!$B$8,C21)</f>
        <v>49.78416</v>
      </c>
      <c r="E7" s="54">
        <f>IF(E$5=1,Assumptions!$B$8,D21)</f>
        <v>49.567937436287998</v>
      </c>
      <c r="F7" s="54">
        <f>IF(F$5=1,Assumptions!$B$8,E21)</f>
        <v>49.351345376866398</v>
      </c>
      <c r="G7" s="54">
        <f>IF(G$5=1,Assumptions!$B$8,F21)</f>
        <v>49.134396862589689</v>
      </c>
      <c r="H7" s="54">
        <f>IF(H$5=1,Assumptions!$B$8,G21)</f>
        <v>48.917104905904566</v>
      </c>
      <c r="I7" s="54">
        <f>IF(I$5=1,Assumptions!$B$8,H21)</f>
        <v>48.699482489599177</v>
      </c>
      <c r="J7" s="54">
        <f>IF(J$5=1,Assumptions!$B$8,I21)</f>
        <v>58.484113898237176</v>
      </c>
      <c r="K7" s="54">
        <f>IF(K$5=1,Assumptions!$B$8,J21)</f>
        <v>58.22547375293361</v>
      </c>
      <c r="L7" s="54">
        <f>IF(L$5=1,Assumptions!$B$8,K21)</f>
        <v>57.969514570315717</v>
      </c>
      <c r="M7" s="54">
        <f>IF(M$5=1,Assumptions!$B$8,L21)</f>
        <v>57.714680584264606</v>
      </c>
      <c r="N7" s="54">
        <f>IF(N$5=1,Assumptions!$B$8,M21)</f>
        <v>57.460966848416184</v>
      </c>
      <c r="O7" s="54">
        <f>IF(O$5=1,Assumptions!$B$8,N21)</f>
        <v>57.20685146862575</v>
      </c>
      <c r="P7" s="54">
        <f>IF(P$5=1,Assumptions!$B$8,O21)</f>
        <v>55.965462791756572</v>
      </c>
      <c r="Q7" s="54">
        <f>IF(Q$5=1,Assumptions!$B$8,P21)</f>
        <v>54.745415702896274</v>
      </c>
      <c r="R7" s="54">
        <f>IF(R$5=1,Assumptions!$B$8,Q21)</f>
        <v>53.551965640573137</v>
      </c>
      <c r="S7" s="54">
        <f>IF(S$5=1,Assumptions!$B$8,R21)</f>
        <v>52.389887986172695</v>
      </c>
      <c r="T7" s="54">
        <f>IF(T$5=1,Assumptions!$B$8,S21)</f>
        <v>51.258266405671371</v>
      </c>
      <c r="U7" s="54">
        <f>IF(U$5=1,Assumptions!$B$8,T21)</f>
        <v>50.151087851308873</v>
      </c>
      <c r="V7" s="54">
        <f>IF(V$5=1,Assumptions!$B$8,U21)</f>
        <v>49.072839462505733</v>
      </c>
      <c r="W7" s="54">
        <f>IF(W$5=1,Assumptions!$B$8,V21)</f>
        <v>48.017773414061857</v>
      </c>
      <c r="X7" s="54">
        <f>IF(X$5=1,Assumptions!$B$8,W21)</f>
        <v>46.990193063000937</v>
      </c>
      <c r="Y7" s="50"/>
      <c r="Z7" s="50"/>
    </row>
    <row r="8" spans="1:27" x14ac:dyDescent="0.75">
      <c r="A8" s="8" t="s">
        <v>26</v>
      </c>
      <c r="B8" s="24">
        <v>0</v>
      </c>
      <c r="C8" s="50">
        <f>+Assumptions!$F$27</f>
        <v>0.1125</v>
      </c>
      <c r="D8" s="50">
        <f>+Assumptions!$F$27</f>
        <v>0.1125</v>
      </c>
      <c r="E8" s="50">
        <f>+Assumptions!$F$27</f>
        <v>0.1125</v>
      </c>
      <c r="F8" s="50">
        <f>+Assumptions!$F$27</f>
        <v>0.1125</v>
      </c>
      <c r="G8" s="50">
        <f>+Assumptions!$F$27</f>
        <v>0.1125</v>
      </c>
      <c r="H8" s="50">
        <f>+Assumptions!$F$27</f>
        <v>0.1125</v>
      </c>
      <c r="I8" s="50">
        <f>+Assumptions!$F$27</f>
        <v>0.1125</v>
      </c>
      <c r="J8" s="50">
        <f>+Assumptions!$F$27</f>
        <v>0.1125</v>
      </c>
      <c r="K8" s="50">
        <f>+Assumptions!$F$27</f>
        <v>0.1125</v>
      </c>
      <c r="L8" s="50">
        <f>+Assumptions!$F$27</f>
        <v>0.1125</v>
      </c>
      <c r="M8" s="50">
        <f>+Assumptions!$F$27</f>
        <v>0.1125</v>
      </c>
      <c r="N8" s="50">
        <f>+Assumptions!$F$27</f>
        <v>0.1125</v>
      </c>
      <c r="O8" s="50">
        <f>+Assumptions!$F$27</f>
        <v>0.1125</v>
      </c>
      <c r="P8" s="50">
        <f>+Assumptions!$F$27</f>
        <v>0.1125</v>
      </c>
      <c r="Q8" s="50">
        <f>+Assumptions!$F$27</f>
        <v>0.1125</v>
      </c>
      <c r="R8" s="50">
        <f>+Assumptions!$F$27</f>
        <v>0.1125</v>
      </c>
      <c r="S8" s="50">
        <f>+Assumptions!$F$27</f>
        <v>0.1125</v>
      </c>
      <c r="T8" s="50">
        <f>+Assumptions!$F$27</f>
        <v>0.1125</v>
      </c>
      <c r="U8" s="50">
        <f>+Assumptions!$F$27</f>
        <v>0.1125</v>
      </c>
      <c r="V8" s="50">
        <f>+Assumptions!$F$27</f>
        <v>0.1125</v>
      </c>
      <c r="W8" s="50">
        <f>+Assumptions!$F$27</f>
        <v>0.1125</v>
      </c>
      <c r="X8" s="50">
        <f>+Assumptions!$F$27</f>
        <v>0.1125</v>
      </c>
      <c r="Y8" s="50"/>
      <c r="Z8" s="50"/>
    </row>
    <row r="9" spans="1:27" x14ac:dyDescent="0.75">
      <c r="A9" s="8" t="s">
        <v>76</v>
      </c>
      <c r="B9" s="18">
        <v>0</v>
      </c>
      <c r="C9" s="18">
        <f t="shared" ref="C9:X9" si="0">C7*C8/12</f>
        <v>0.46875</v>
      </c>
      <c r="D9" s="18">
        <f t="shared" si="0"/>
        <v>0.46672650000000004</v>
      </c>
      <c r="E9" s="18">
        <f t="shared" si="0"/>
        <v>0.4646994134652</v>
      </c>
      <c r="F9" s="18">
        <f t="shared" si="0"/>
        <v>0.46266886290812254</v>
      </c>
      <c r="G9" s="18">
        <f t="shared" si="0"/>
        <v>0.46063497058677833</v>
      </c>
      <c r="H9" s="18">
        <f t="shared" si="0"/>
        <v>0.45859785849285534</v>
      </c>
      <c r="I9" s="18">
        <f t="shared" si="0"/>
        <v>0.45655764833999229</v>
      </c>
      <c r="J9" s="18">
        <f t="shared" si="0"/>
        <v>0.54828856779597357</v>
      </c>
      <c r="K9" s="18">
        <f t="shared" si="0"/>
        <v>0.54586381643375259</v>
      </c>
      <c r="L9" s="18">
        <f t="shared" si="0"/>
        <v>0.54346419909670984</v>
      </c>
      <c r="M9" s="18">
        <f t="shared" si="0"/>
        <v>0.54107513047748068</v>
      </c>
      <c r="N9" s="18">
        <f t="shared" si="0"/>
        <v>0.53869656420390177</v>
      </c>
      <c r="O9" s="18">
        <f t="shared" si="0"/>
        <v>0.53631423251836641</v>
      </c>
      <c r="P9" s="18">
        <f t="shared" si="0"/>
        <v>0.52467621367271788</v>
      </c>
      <c r="Q9" s="18">
        <f t="shared" si="0"/>
        <v>0.51323827221465257</v>
      </c>
      <c r="R9" s="18">
        <f t="shared" si="0"/>
        <v>0.50204967788037314</v>
      </c>
      <c r="S9" s="18">
        <f t="shared" si="0"/>
        <v>0.49115519987036899</v>
      </c>
      <c r="T9" s="18">
        <f t="shared" si="0"/>
        <v>0.48054624755316916</v>
      </c>
      <c r="U9" s="18">
        <f t="shared" si="0"/>
        <v>0.47016644860602069</v>
      </c>
      <c r="V9" s="18">
        <f t="shared" si="0"/>
        <v>0.46005786996099124</v>
      </c>
      <c r="W9" s="18">
        <f t="shared" si="0"/>
        <v>0.45016662575682992</v>
      </c>
      <c r="X9" s="18">
        <f t="shared" si="0"/>
        <v>0.4405330599656338</v>
      </c>
      <c r="Y9" s="50"/>
      <c r="Z9" s="50"/>
    </row>
    <row r="10" spans="1:27" x14ac:dyDescent="0.75">
      <c r="A10" s="8" t="s">
        <v>27</v>
      </c>
      <c r="B10" s="24">
        <v>0</v>
      </c>
      <c r="C10" s="50">
        <f>+Assumptions!$F$28</f>
        <v>0.02</v>
      </c>
      <c r="D10" s="50">
        <f>+Assumptions!$F$28</f>
        <v>0.02</v>
      </c>
      <c r="E10" s="50">
        <f>+Assumptions!$F$28</f>
        <v>0.02</v>
      </c>
      <c r="F10" s="50">
        <f>+Assumptions!$F$28</f>
        <v>0.02</v>
      </c>
      <c r="G10" s="50">
        <f>+Assumptions!$F$28</f>
        <v>0.02</v>
      </c>
      <c r="H10" s="50">
        <f>+Assumptions!$F$28</f>
        <v>0.02</v>
      </c>
      <c r="I10" s="50">
        <f>+Assumptions!$F$28</f>
        <v>0.02</v>
      </c>
      <c r="J10" s="50">
        <f>+Assumptions!$F$28</f>
        <v>0.02</v>
      </c>
      <c r="K10" s="50">
        <f>+Assumptions!$F$28</f>
        <v>0.02</v>
      </c>
      <c r="L10" s="50">
        <f>+Assumptions!$F$28</f>
        <v>0.02</v>
      </c>
      <c r="M10" s="50">
        <f>+Assumptions!$F$28</f>
        <v>0.02</v>
      </c>
      <c r="N10" s="50">
        <f>+Assumptions!$F$28</f>
        <v>0.02</v>
      </c>
      <c r="O10" s="50">
        <f>+Assumptions!$F$28</f>
        <v>0.02</v>
      </c>
      <c r="P10" s="50">
        <f>+Assumptions!$F$28</f>
        <v>0.02</v>
      </c>
      <c r="Q10" s="50">
        <f>+Assumptions!$F$28</f>
        <v>0.02</v>
      </c>
      <c r="R10" s="50">
        <f>+Assumptions!$F$28</f>
        <v>0.02</v>
      </c>
      <c r="S10" s="50">
        <f>+Assumptions!$F$28</f>
        <v>0.02</v>
      </c>
      <c r="T10" s="50">
        <f>+Assumptions!$F$28</f>
        <v>0.02</v>
      </c>
      <c r="U10" s="50">
        <f>+Assumptions!$F$28</f>
        <v>0.02</v>
      </c>
      <c r="V10" s="50">
        <f>+Assumptions!$F$28</f>
        <v>0.02</v>
      </c>
      <c r="W10" s="50">
        <f>+Assumptions!$F$28</f>
        <v>0.02</v>
      </c>
      <c r="X10" s="50">
        <f>+Assumptions!$F$28</f>
        <v>0.02</v>
      </c>
      <c r="Y10" s="50"/>
      <c r="Z10" s="50"/>
    </row>
    <row r="11" spans="1:27" x14ac:dyDescent="0.75">
      <c r="A11" s="8" t="s">
        <v>77</v>
      </c>
      <c r="B11" s="18">
        <v>0</v>
      </c>
      <c r="C11" s="18">
        <f t="shared" ref="C11:X11" si="1">C7*C10</f>
        <v>1</v>
      </c>
      <c r="D11" s="18">
        <f t="shared" si="1"/>
        <v>0.99568319999999999</v>
      </c>
      <c r="E11" s="18">
        <f t="shared" si="1"/>
        <v>0.99135874872576002</v>
      </c>
      <c r="F11" s="18">
        <f t="shared" si="1"/>
        <v>0.98702690753732802</v>
      </c>
      <c r="G11" s="18">
        <f t="shared" si="1"/>
        <v>0.98268793725179382</v>
      </c>
      <c r="H11" s="18">
        <f t="shared" si="1"/>
        <v>0.97834209811809136</v>
      </c>
      <c r="I11" s="18">
        <f t="shared" si="1"/>
        <v>0.97398964979198355</v>
      </c>
      <c r="J11" s="18">
        <f t="shared" si="1"/>
        <v>1.1696822779647436</v>
      </c>
      <c r="K11" s="18">
        <f t="shared" si="1"/>
        <v>1.1645094750586722</v>
      </c>
      <c r="L11" s="18">
        <f t="shared" si="1"/>
        <v>1.1593902914063143</v>
      </c>
      <c r="M11" s="18">
        <f t="shared" si="1"/>
        <v>1.1542936116852922</v>
      </c>
      <c r="N11" s="18">
        <f t="shared" si="1"/>
        <v>1.1492193369683237</v>
      </c>
      <c r="O11" s="18">
        <f t="shared" si="1"/>
        <v>1.144137029372515</v>
      </c>
      <c r="P11" s="18">
        <f t="shared" si="1"/>
        <v>1.1193092558351314</v>
      </c>
      <c r="Q11" s="18">
        <f t="shared" si="1"/>
        <v>1.0949083140579254</v>
      </c>
      <c r="R11" s="18">
        <f t="shared" si="1"/>
        <v>1.0710393128114628</v>
      </c>
      <c r="S11" s="18">
        <f t="shared" si="1"/>
        <v>1.047797759723454</v>
      </c>
      <c r="T11" s="18">
        <f t="shared" si="1"/>
        <v>1.0251653281134274</v>
      </c>
      <c r="U11" s="18">
        <f t="shared" si="1"/>
        <v>1.0030217570261775</v>
      </c>
      <c r="V11" s="18">
        <f t="shared" si="1"/>
        <v>0.9814567892501147</v>
      </c>
      <c r="W11" s="18">
        <f t="shared" si="1"/>
        <v>0.96035546828123719</v>
      </c>
      <c r="X11" s="18">
        <f t="shared" si="1"/>
        <v>0.9398038612600188</v>
      </c>
      <c r="Y11" s="50"/>
      <c r="Z11" s="50"/>
    </row>
    <row r="12" spans="1:27" x14ac:dyDescent="0.75">
      <c r="A12" s="8" t="s">
        <v>78</v>
      </c>
      <c r="B12" s="24">
        <v>0</v>
      </c>
      <c r="C12" s="50">
        <f>+'Monthly Data'!B$5</f>
        <v>1.1999999999999999E-3</v>
      </c>
      <c r="D12" s="50">
        <f>+'Monthly Data'!C$5</f>
        <v>1.2999999999999999E-3</v>
      </c>
      <c r="E12" s="50">
        <f>+'Monthly Data'!D$5</f>
        <v>1.4E-3</v>
      </c>
      <c r="F12" s="50">
        <f>+'Monthly Data'!E$5</f>
        <v>1.5E-3</v>
      </c>
      <c r="G12" s="50">
        <f>+'Monthly Data'!F$5</f>
        <v>1.6000000000000001E-3</v>
      </c>
      <c r="H12" s="50">
        <f>+'Monthly Data'!G$5</f>
        <v>1.6999999999999999E-3</v>
      </c>
      <c r="I12" s="50">
        <f>+'Monthly Data'!H$5</f>
        <v>1.6000000000000001E-3</v>
      </c>
      <c r="J12" s="50">
        <f>+'Monthly Data'!I$5</f>
        <v>1.6000000000000001E-3</v>
      </c>
      <c r="K12" s="50">
        <f>+'Monthly Data'!J$5</f>
        <v>1.5E-3</v>
      </c>
      <c r="L12" s="50">
        <f>+'Monthly Data'!K$5</f>
        <v>1.5E-3</v>
      </c>
      <c r="M12" s="50">
        <f>+'Monthly Data'!L$5</f>
        <v>1.5E-3</v>
      </c>
      <c r="N12" s="50">
        <f>+'Monthly Data'!M$5</f>
        <v>1.6000000000000001E-3</v>
      </c>
      <c r="O12" s="50">
        <f>+'Monthly Data'!N$5</f>
        <v>1.6999999999999999E-3</v>
      </c>
      <c r="P12" s="50">
        <f>+'Monthly Data'!O$5</f>
        <v>1.8E-3</v>
      </c>
      <c r="Q12" s="50">
        <f>+'Monthly Data'!P$5</f>
        <v>1.8E-3</v>
      </c>
      <c r="R12" s="50">
        <f>+'Monthly Data'!Q$5</f>
        <v>1.6999999999999999E-3</v>
      </c>
      <c r="S12" s="50">
        <f>+'Monthly Data'!R$5</f>
        <v>1.6000000000000001E-3</v>
      </c>
      <c r="T12" s="50">
        <f>+'Monthly Data'!S$5</f>
        <v>1.6000000000000001E-3</v>
      </c>
      <c r="U12" s="50">
        <f>+'Monthly Data'!T$5</f>
        <v>1.5E-3</v>
      </c>
      <c r="V12" s="50">
        <f>+'Monthly Data'!U$5</f>
        <v>1.5E-3</v>
      </c>
      <c r="W12" s="50">
        <f>+'Monthly Data'!V$5</f>
        <v>1.4E-3</v>
      </c>
      <c r="X12" s="50">
        <f>+'Monthly Data'!W$5</f>
        <v>1.4E-3</v>
      </c>
      <c r="Y12" s="50"/>
      <c r="Z12" s="50"/>
    </row>
    <row r="13" spans="1:27" x14ac:dyDescent="0.75">
      <c r="A13" s="8" t="s">
        <v>79</v>
      </c>
      <c r="B13" s="18">
        <v>0</v>
      </c>
      <c r="C13" s="18">
        <f t="shared" ref="C13:X13" si="2">C7*C12</f>
        <v>0.06</v>
      </c>
      <c r="D13" s="18">
        <f t="shared" si="2"/>
        <v>6.4719407999999992E-2</v>
      </c>
      <c r="E13" s="18">
        <f t="shared" si="2"/>
        <v>6.9395112410803192E-2</v>
      </c>
      <c r="F13" s="18">
        <f t="shared" si="2"/>
        <v>7.4027018065299599E-2</v>
      </c>
      <c r="G13" s="18">
        <f t="shared" si="2"/>
        <v>7.8615034980143508E-2</v>
      </c>
      <c r="H13" s="18">
        <f t="shared" si="2"/>
        <v>8.3159078340037759E-2</v>
      </c>
      <c r="I13" s="18">
        <f t="shared" si="2"/>
        <v>7.7919171983358682E-2</v>
      </c>
      <c r="J13" s="18">
        <f t="shared" si="2"/>
        <v>9.3574582237179488E-2</v>
      </c>
      <c r="K13" s="18">
        <f t="shared" si="2"/>
        <v>8.733821062940042E-2</v>
      </c>
      <c r="L13" s="18">
        <f t="shared" si="2"/>
        <v>8.6954271855473581E-2</v>
      </c>
      <c r="M13" s="18">
        <f t="shared" si="2"/>
        <v>8.6572020876396913E-2</v>
      </c>
      <c r="N13" s="18">
        <f t="shared" si="2"/>
        <v>9.1937546957465893E-2</v>
      </c>
      <c r="O13" s="18">
        <f t="shared" si="2"/>
        <v>9.7251647496663776E-2</v>
      </c>
      <c r="P13" s="18">
        <f t="shared" si="2"/>
        <v>0.10073783302516183</v>
      </c>
      <c r="Q13" s="18">
        <f t="shared" si="2"/>
        <v>9.8541748265213294E-2</v>
      </c>
      <c r="R13" s="18">
        <f t="shared" si="2"/>
        <v>9.1038341588974322E-2</v>
      </c>
      <c r="S13" s="18">
        <f t="shared" si="2"/>
        <v>8.3823820777876312E-2</v>
      </c>
      <c r="T13" s="18">
        <f t="shared" si="2"/>
        <v>8.20132262490742E-2</v>
      </c>
      <c r="U13" s="18">
        <f t="shared" si="2"/>
        <v>7.5226631776963315E-2</v>
      </c>
      <c r="V13" s="18">
        <f t="shared" si="2"/>
        <v>7.3609259193758603E-2</v>
      </c>
      <c r="W13" s="18">
        <f t="shared" si="2"/>
        <v>6.7224882779686593E-2</v>
      </c>
      <c r="X13" s="18">
        <f t="shared" si="2"/>
        <v>6.5786270288201318E-2</v>
      </c>
      <c r="Y13" s="50"/>
      <c r="Z13" s="50"/>
    </row>
    <row r="14" spans="1:27" x14ac:dyDescent="0.75">
      <c r="A14" s="8" t="s">
        <v>31</v>
      </c>
      <c r="B14" s="24">
        <v>0</v>
      </c>
      <c r="C14" s="50">
        <f>Assumptions!$F$30</f>
        <v>0.92</v>
      </c>
      <c r="D14" s="50">
        <f>Assumptions!$F$30</f>
        <v>0.92</v>
      </c>
      <c r="E14" s="50">
        <f>Assumptions!$F$30</f>
        <v>0.92</v>
      </c>
      <c r="F14" s="50">
        <f>Assumptions!$F$30</f>
        <v>0.92</v>
      </c>
      <c r="G14" s="50">
        <f>Assumptions!$F$30</f>
        <v>0.92</v>
      </c>
      <c r="H14" s="50">
        <f>Assumptions!$F$30</f>
        <v>0.92</v>
      </c>
      <c r="I14" s="50">
        <f>Assumptions!$F$30</f>
        <v>0.92</v>
      </c>
      <c r="J14" s="50">
        <f>Assumptions!$F$30</f>
        <v>0.92</v>
      </c>
      <c r="K14" s="50">
        <f>Assumptions!$F$30</f>
        <v>0.92</v>
      </c>
      <c r="L14" s="50">
        <f>Assumptions!$F$30</f>
        <v>0.92</v>
      </c>
      <c r="M14" s="50">
        <f>Assumptions!$F$30</f>
        <v>0.92</v>
      </c>
      <c r="N14" s="50">
        <f>Assumptions!$F$30</f>
        <v>0.92</v>
      </c>
      <c r="O14" s="50">
        <f>Assumptions!$F$30</f>
        <v>0.92</v>
      </c>
      <c r="P14" s="50">
        <f>Assumptions!$F$30</f>
        <v>0.92</v>
      </c>
      <c r="Q14" s="50">
        <f>Assumptions!$F$30</f>
        <v>0.92</v>
      </c>
      <c r="R14" s="50">
        <f>Assumptions!$F$30</f>
        <v>0.92</v>
      </c>
      <c r="S14" s="50">
        <f>Assumptions!$F$30</f>
        <v>0.92</v>
      </c>
      <c r="T14" s="50">
        <f>Assumptions!$F$30</f>
        <v>0.92</v>
      </c>
      <c r="U14" s="50">
        <f>Assumptions!$F$30</f>
        <v>0.92</v>
      </c>
      <c r="V14" s="50">
        <f>Assumptions!$F$30</f>
        <v>0.92</v>
      </c>
      <c r="W14" s="50">
        <f>Assumptions!$F$30</f>
        <v>0.92</v>
      </c>
      <c r="X14" s="50">
        <f>Assumptions!$F$30</f>
        <v>0.92</v>
      </c>
      <c r="Y14" s="50"/>
      <c r="Z14" s="50"/>
    </row>
    <row r="15" spans="1:27" x14ac:dyDescent="0.75">
      <c r="A15" s="8" t="s">
        <v>80</v>
      </c>
      <c r="B15" s="18">
        <v>0</v>
      </c>
      <c r="C15" s="18">
        <f t="shared" ref="C15:X15" si="3">C13*C14</f>
        <v>5.5199999999999999E-2</v>
      </c>
      <c r="D15" s="18">
        <f t="shared" si="3"/>
        <v>5.9541855359999993E-2</v>
      </c>
      <c r="E15" s="18">
        <f t="shared" si="3"/>
        <v>6.3843503417938943E-2</v>
      </c>
      <c r="F15" s="18">
        <f t="shared" si="3"/>
        <v>6.8104856620075635E-2</v>
      </c>
      <c r="G15" s="18">
        <f t="shared" si="3"/>
        <v>7.2325832181732025E-2</v>
      </c>
      <c r="H15" s="18">
        <f t="shared" si="3"/>
        <v>7.6506352072834738E-2</v>
      </c>
      <c r="I15" s="18">
        <f t="shared" si="3"/>
        <v>7.1685638224689985E-2</v>
      </c>
      <c r="J15" s="18">
        <f t="shared" si="3"/>
        <v>8.6088615658205137E-2</v>
      </c>
      <c r="K15" s="18">
        <f t="shared" si="3"/>
        <v>8.035115377904839E-2</v>
      </c>
      <c r="L15" s="18">
        <f t="shared" si="3"/>
        <v>7.9997930107035695E-2</v>
      </c>
      <c r="M15" s="18">
        <f t="shared" si="3"/>
        <v>7.9646259206285167E-2</v>
      </c>
      <c r="N15" s="18">
        <f t="shared" si="3"/>
        <v>8.4582543200868623E-2</v>
      </c>
      <c r="O15" s="18">
        <f t="shared" si="3"/>
        <v>8.9471515696930681E-2</v>
      </c>
      <c r="P15" s="18">
        <f t="shared" si="3"/>
        <v>9.267880638314889E-2</v>
      </c>
      <c r="Q15" s="18">
        <f t="shared" si="3"/>
        <v>9.0658408403996235E-2</v>
      </c>
      <c r="R15" s="18">
        <f t="shared" si="3"/>
        <v>8.3755274261856374E-2</v>
      </c>
      <c r="S15" s="18">
        <f t="shared" si="3"/>
        <v>7.711791511564621E-2</v>
      </c>
      <c r="T15" s="18">
        <f t="shared" si="3"/>
        <v>7.5452168149148263E-2</v>
      </c>
      <c r="U15" s="18">
        <f t="shared" si="3"/>
        <v>6.9208501234806249E-2</v>
      </c>
      <c r="V15" s="18">
        <f t="shared" si="3"/>
        <v>6.7720518458257911E-2</v>
      </c>
      <c r="W15" s="18">
        <f t="shared" si="3"/>
        <v>6.1846892157311671E-2</v>
      </c>
      <c r="X15" s="18">
        <f t="shared" si="3"/>
        <v>6.0523368665145218E-2</v>
      </c>
      <c r="Y15" s="50"/>
      <c r="Z15" s="50"/>
    </row>
    <row r="16" spans="1:27" x14ac:dyDescent="0.75">
      <c r="A16" s="8" t="s">
        <v>81</v>
      </c>
      <c r="B16" s="18">
        <v>0</v>
      </c>
      <c r="C16" s="18">
        <f t="shared" ref="C16:X16" si="4">C13-C15</f>
        <v>4.7999999999999987E-3</v>
      </c>
      <c r="D16" s="18">
        <f t="shared" si="4"/>
        <v>5.1775526399999994E-3</v>
      </c>
      <c r="E16" s="18">
        <f t="shared" si="4"/>
        <v>5.5516089928642487E-3</v>
      </c>
      <c r="F16" s="18">
        <f t="shared" si="4"/>
        <v>5.922161445223964E-3</v>
      </c>
      <c r="G16" s="18">
        <f t="shared" si="4"/>
        <v>6.2892027984114834E-3</v>
      </c>
      <c r="H16" s="18">
        <f t="shared" si="4"/>
        <v>6.6527262672030213E-3</v>
      </c>
      <c r="I16" s="18">
        <f t="shared" si="4"/>
        <v>6.2335337586686967E-3</v>
      </c>
      <c r="J16" s="18">
        <f t="shared" si="4"/>
        <v>7.4859665789743512E-3</v>
      </c>
      <c r="K16" s="18">
        <f t="shared" si="4"/>
        <v>6.9870568503520303E-3</v>
      </c>
      <c r="L16" s="18">
        <f t="shared" si="4"/>
        <v>6.9563417484378859E-3</v>
      </c>
      <c r="M16" s="18">
        <f t="shared" si="4"/>
        <v>6.9257616701117464E-3</v>
      </c>
      <c r="N16" s="18">
        <f t="shared" si="4"/>
        <v>7.3550037565972698E-3</v>
      </c>
      <c r="O16" s="18">
        <f t="shared" si="4"/>
        <v>7.7801317997330949E-3</v>
      </c>
      <c r="P16" s="18">
        <f t="shared" si="4"/>
        <v>8.0590266420129397E-3</v>
      </c>
      <c r="Q16" s="18">
        <f t="shared" si="4"/>
        <v>7.8833398612170591E-3</v>
      </c>
      <c r="R16" s="18">
        <f t="shared" si="4"/>
        <v>7.283067327117948E-3</v>
      </c>
      <c r="S16" s="18">
        <f t="shared" si="4"/>
        <v>6.7059056622301022E-3</v>
      </c>
      <c r="T16" s="18">
        <f t="shared" si="4"/>
        <v>6.5610580999259371E-3</v>
      </c>
      <c r="U16" s="18">
        <f t="shared" si="4"/>
        <v>6.0181305421570658E-3</v>
      </c>
      <c r="V16" s="18">
        <f t="shared" si="4"/>
        <v>5.8887407355006915E-3</v>
      </c>
      <c r="W16" s="18">
        <f t="shared" si="4"/>
        <v>5.3779906223749216E-3</v>
      </c>
      <c r="X16" s="18">
        <f t="shared" si="4"/>
        <v>5.2629016230561002E-3</v>
      </c>
      <c r="Y16" s="50"/>
      <c r="Z16" s="50"/>
    </row>
    <row r="17" spans="1:26" x14ac:dyDescent="0.75">
      <c r="A17" s="8" t="s">
        <v>36</v>
      </c>
      <c r="B17" s="24">
        <v>0</v>
      </c>
      <c r="C17" s="50">
        <f t="array" ref="C17">_xlfn.IFS(C$12&lt;=0.1%,100%,C$12&lt;=0.2%,80%,C$12&lt;=0.35%,50%,C$12&gt;0.35%,0%)</f>
        <v>0.8</v>
      </c>
      <c r="D17" s="50">
        <f t="array" ref="D17">_xlfn.IFS(D$12&lt;=0.1%,100%,D$12&lt;=0.2%,80%,D$12&lt;=0.35%,50%,D$12&gt;0.35%,0%)</f>
        <v>0.8</v>
      </c>
      <c r="E17" s="50">
        <f t="array" ref="E17">_xlfn.IFS(E$12&lt;=0.1%,100%,E$12&lt;=0.2%,80%,E$12&lt;=0.35%,50%,E$12&gt;0.35%,0%)</f>
        <v>0.8</v>
      </c>
      <c r="F17" s="50">
        <f t="array" ref="F17">_xlfn.IFS(F$12&lt;=0.1%,100%,F$12&lt;=0.2%,80%,F$12&lt;=0.35%,50%,F$12&gt;0.35%,0%)</f>
        <v>0.8</v>
      </c>
      <c r="G17" s="50">
        <f t="array" ref="G17">_xlfn.IFS(G$12&lt;=0.1%,100%,G$12&lt;=0.2%,80%,G$12&lt;=0.35%,50%,G$12&gt;0.35%,0%)</f>
        <v>0.8</v>
      </c>
      <c r="H17" s="50">
        <f t="array" ref="H17">_xlfn.IFS(H$12&lt;=0.1%,100%,H$12&lt;=0.2%,80%,H$12&lt;=0.35%,50%,H$12&gt;0.35%,0%)</f>
        <v>0.8</v>
      </c>
      <c r="I17" s="50">
        <f t="array" ref="I17">_xlfn.IFS(I$12&lt;=0.1%,100%,I$12&lt;=0.2%,80%,I$12&lt;=0.35%,50%,I$12&gt;0.35%,0%)</f>
        <v>0.8</v>
      </c>
      <c r="J17" s="50">
        <f t="array" ref="J17">_xlfn.IFS(J$12&lt;=0.1%,100%,J$12&lt;=0.2%,80%,J$12&lt;=0.35%,50%,J$12&gt;0.35%,0%)</f>
        <v>0.8</v>
      </c>
      <c r="K17" s="50">
        <f t="array" ref="K17">_xlfn.IFS(K$12&lt;=0.1%,100%,K$12&lt;=0.2%,80%,K$12&lt;=0.35%,50%,K$12&gt;0.35%,0%)</f>
        <v>0.8</v>
      </c>
      <c r="L17" s="50">
        <f t="array" ref="L17">_xlfn.IFS(L$12&lt;=0.1%,100%,L$12&lt;=0.2%,80%,L$12&lt;=0.35%,50%,L$12&gt;0.35%,0%)</f>
        <v>0.8</v>
      </c>
      <c r="M17" s="50">
        <f t="array" ref="M17">_xlfn.IFS(M$12&lt;=0.1%,100%,M$12&lt;=0.2%,80%,M$12&lt;=0.35%,50%,M$12&gt;0.35%,0%)</f>
        <v>0.8</v>
      </c>
      <c r="N17" s="50">
        <f t="array" ref="N17">_xlfn.IFS(N$12&lt;=0.1%,100%,N$12&lt;=0.2%,80%,N$12&lt;=0.35%,50%,N$12&gt;0.35%,0%)</f>
        <v>0.8</v>
      </c>
      <c r="O17" s="50">
        <f>IF(AND(O$5&gt;12,Tests!$C$10="Fail"),0,_xlfn.IFS(O$12&lt;=0.1%,100%,O$12&lt;=0.2%,80%,O$12&lt;=0.35%,50%,O$12&gt;0.35%,0%))</f>
        <v>0</v>
      </c>
      <c r="P17" s="50">
        <f>IF(AND(P$5&gt;12,Tests!$C$10="Fail"),0,_xlfn.IFS(P$12&lt;=0.1%,100%,P$12&lt;=0.2%,80%,P$12&lt;=0.35%,50%,P$12&gt;0.35%,0%))</f>
        <v>0</v>
      </c>
      <c r="Q17" s="50">
        <f>IF(AND(Q$5&gt;12,Tests!$C$10="Fail"),0,_xlfn.IFS(Q$12&lt;=0.1%,100%,Q$12&lt;=0.2%,80%,Q$12&lt;=0.35%,50%,Q$12&gt;0.35%,0%))</f>
        <v>0</v>
      </c>
      <c r="R17" s="50">
        <f>IF(AND(R$5&gt;12,Tests!$C$10="Fail"),0,_xlfn.IFS(R$12&lt;=0.1%,100%,R$12&lt;=0.2%,80%,R$12&lt;=0.35%,50%,R$12&gt;0.35%,0%))</f>
        <v>0</v>
      </c>
      <c r="S17" s="50">
        <f>IF(AND(S$5&gt;12,Tests!$C$10="Fail"),0,_xlfn.IFS(S$12&lt;=0.1%,100%,S$12&lt;=0.2%,80%,S$12&lt;=0.35%,50%,S$12&gt;0.35%,0%))</f>
        <v>0</v>
      </c>
      <c r="T17" s="50">
        <f>IF(AND(T$5&gt;12,Tests!$C$10="Fail"),0,_xlfn.IFS(T$12&lt;=0.1%,100%,T$12&lt;=0.2%,80%,T$12&lt;=0.35%,50%,T$12&gt;0.35%,0%))</f>
        <v>0</v>
      </c>
      <c r="U17" s="50">
        <f>IF(AND(U$5&gt;12,Tests!$C$10="Fail"),0,_xlfn.IFS(U$12&lt;=0.1%,100%,U$12&lt;=0.2%,80%,U$12&lt;=0.35%,50%,U$12&gt;0.35%,0%))</f>
        <v>0</v>
      </c>
      <c r="V17" s="50">
        <f>IF(AND(V$5&gt;12,Tests!$C$10="Fail"),0,_xlfn.IFS(V$12&lt;=0.1%,100%,V$12&lt;=0.2%,80%,V$12&lt;=0.35%,50%,V$12&gt;0.35%,0%))</f>
        <v>0</v>
      </c>
      <c r="W17" s="50">
        <f>IF(AND(W$5&gt;12,Tests!$C$10="Fail"),0,_xlfn.IFS(W$12&lt;=0.1%,100%,W$12&lt;=0.2%,80%,W$12&lt;=0.35%,50%,W$12&gt;0.35%,0%))</f>
        <v>0</v>
      </c>
      <c r="X17" s="50">
        <f>IF(AND(X$5&gt;12,Tests!$C$10="Fail"),0,_xlfn.IFS(X$12&lt;=0.1%,100%,X$12&lt;=0.2%,80%,X$12&lt;=0.35%,50%,X$12&gt;0.35%,0%))</f>
        <v>0</v>
      </c>
      <c r="Y17" s="50"/>
      <c r="Z17" s="50"/>
    </row>
    <row r="18" spans="1:26" x14ac:dyDescent="0.75">
      <c r="A18" s="8" t="s">
        <v>82</v>
      </c>
      <c r="B18" s="18">
        <v>0</v>
      </c>
      <c r="C18" s="18">
        <f t="shared" ref="C18:X18" si="5">(C11+C15)*C17</f>
        <v>0.84416000000000002</v>
      </c>
      <c r="D18" s="18">
        <f t="shared" si="5"/>
        <v>0.84418004428800009</v>
      </c>
      <c r="E18" s="18">
        <f t="shared" si="5"/>
        <v>0.84416180171495925</v>
      </c>
      <c r="F18" s="18">
        <f t="shared" si="5"/>
        <v>0.84410541132592298</v>
      </c>
      <c r="G18" s="18">
        <f t="shared" si="5"/>
        <v>0.84401101554682068</v>
      </c>
      <c r="H18" s="18">
        <f t="shared" si="5"/>
        <v>0.84387876015274088</v>
      </c>
      <c r="I18" s="18">
        <f t="shared" si="5"/>
        <v>0.83654023041333891</v>
      </c>
      <c r="J18" s="18">
        <f t="shared" si="5"/>
        <v>1.0046167148983589</v>
      </c>
      <c r="K18" s="18">
        <f t="shared" si="5"/>
        <v>0.99588850307017651</v>
      </c>
      <c r="L18" s="18">
        <f t="shared" si="5"/>
        <v>0.99151057721068003</v>
      </c>
      <c r="M18" s="18">
        <f t="shared" si="5"/>
        <v>0.98715189671326198</v>
      </c>
      <c r="N18" s="18">
        <f t="shared" si="5"/>
        <v>0.98704150413535396</v>
      </c>
      <c r="O18" s="18">
        <f t="shared" si="5"/>
        <v>0</v>
      </c>
      <c r="P18" s="18">
        <f t="shared" si="5"/>
        <v>0</v>
      </c>
      <c r="Q18" s="18">
        <f t="shared" si="5"/>
        <v>0</v>
      </c>
      <c r="R18" s="18">
        <f t="shared" si="5"/>
        <v>0</v>
      </c>
      <c r="S18" s="18">
        <f t="shared" si="5"/>
        <v>0</v>
      </c>
      <c r="T18" s="18">
        <f t="shared" si="5"/>
        <v>0</v>
      </c>
      <c r="U18" s="18">
        <f t="shared" si="5"/>
        <v>0</v>
      </c>
      <c r="V18" s="18">
        <f t="shared" si="5"/>
        <v>0</v>
      </c>
      <c r="W18" s="18">
        <f t="shared" si="5"/>
        <v>0</v>
      </c>
      <c r="X18" s="18">
        <f t="shared" si="5"/>
        <v>0</v>
      </c>
      <c r="Y18" s="50"/>
      <c r="Z18" s="50"/>
    </row>
    <row r="19" spans="1:26" x14ac:dyDescent="0.75">
      <c r="A19" s="55" t="s">
        <v>83</v>
      </c>
      <c r="B19" s="56">
        <v>0</v>
      </c>
      <c r="C19" s="56">
        <f>IF(C$5=Assumptions!$B$18,Assumptions!$B$19,0)</f>
        <v>0</v>
      </c>
      <c r="D19" s="56">
        <f>IF(D$5=Assumptions!$B$18,Assumptions!$B$19,0)</f>
        <v>0</v>
      </c>
      <c r="E19" s="56">
        <f>IF(E$5=Assumptions!$B$18,Assumptions!$B$19,0)</f>
        <v>0</v>
      </c>
      <c r="F19" s="56">
        <f>IF(F$5=Assumptions!$B$18,Assumptions!$B$19,0)</f>
        <v>0</v>
      </c>
      <c r="G19" s="56">
        <f>IF(G$5=Assumptions!$B$18,Assumptions!$B$19,0)</f>
        <v>0</v>
      </c>
      <c r="H19" s="56">
        <f>IF(H$5=Assumptions!$B$18,Assumptions!$B$19,0)</f>
        <v>0</v>
      </c>
      <c r="I19" s="56">
        <f>IF(I$5=Assumptions!$B$18,Assumptions!$B$19,0)</f>
        <v>10</v>
      </c>
      <c r="J19" s="56">
        <f>IF(J$5=Assumptions!$B$18,Assumptions!$B$19,0)</f>
        <v>0</v>
      </c>
      <c r="K19" s="56">
        <f>IF(K$5=Assumptions!$B$18,Assumptions!$B$19,0)</f>
        <v>0</v>
      </c>
      <c r="L19" s="56">
        <f>IF(L$5=Assumptions!$B$18,Assumptions!$B$19,0)</f>
        <v>0</v>
      </c>
      <c r="M19" s="56">
        <f>IF(M$5=Assumptions!$B$18,Assumptions!$B$19,0)</f>
        <v>0</v>
      </c>
      <c r="N19" s="56">
        <f>IF(N$5=Assumptions!$B$18,Assumptions!$B$19,0)</f>
        <v>0</v>
      </c>
      <c r="O19" s="56">
        <f>IF(O$5=Assumptions!$B$18,Assumptions!$B$19,0)</f>
        <v>0</v>
      </c>
      <c r="P19" s="56">
        <f>IF(P$5=Assumptions!$B$18,Assumptions!$B$19,0)</f>
        <v>0</v>
      </c>
      <c r="Q19" s="56">
        <f>IF(Q$5=Assumptions!$B$18,Assumptions!$B$19,0)</f>
        <v>0</v>
      </c>
      <c r="R19" s="56">
        <f>IF(R$5=Assumptions!$B$18,Assumptions!$B$19,0)</f>
        <v>0</v>
      </c>
      <c r="S19" s="56">
        <f>IF(S$5=Assumptions!$B$18,Assumptions!$B$19,0)</f>
        <v>0</v>
      </c>
      <c r="T19" s="56">
        <f>IF(T$5=Assumptions!$B$18,Assumptions!$B$19,0)</f>
        <v>0</v>
      </c>
      <c r="U19" s="56">
        <f>IF(U$5=Assumptions!$B$18,Assumptions!$B$19,0)</f>
        <v>0</v>
      </c>
      <c r="V19" s="56">
        <f>IF(V$5=Assumptions!$B$18,Assumptions!$B$19,0)</f>
        <v>0</v>
      </c>
      <c r="W19" s="56">
        <f>IF(W$5=Assumptions!$B$18,Assumptions!$B$19,0)</f>
        <v>0</v>
      </c>
      <c r="X19" s="56">
        <f>IF(X$5=Assumptions!$B$18,Assumptions!$B$19,0)</f>
        <v>0</v>
      </c>
      <c r="Y19" s="50"/>
      <c r="Z19" s="50"/>
    </row>
    <row r="20" spans="1:26" ht="15" customHeight="1" x14ac:dyDescent="0.75">
      <c r="A20" s="8" t="s">
        <v>84</v>
      </c>
      <c r="B20" s="18">
        <v>0</v>
      </c>
      <c r="C20" s="18">
        <f t="shared" ref="C20:X20" si="6">C18+C19</f>
        <v>0.84416000000000002</v>
      </c>
      <c r="D20" s="18">
        <f t="shared" si="6"/>
        <v>0.84418004428800009</v>
      </c>
      <c r="E20" s="18">
        <f t="shared" si="6"/>
        <v>0.84416180171495925</v>
      </c>
      <c r="F20" s="18">
        <f t="shared" si="6"/>
        <v>0.84410541132592298</v>
      </c>
      <c r="G20" s="18">
        <f t="shared" si="6"/>
        <v>0.84401101554682068</v>
      </c>
      <c r="H20" s="18">
        <f t="shared" si="6"/>
        <v>0.84387876015274088</v>
      </c>
      <c r="I20" s="18">
        <f t="shared" si="6"/>
        <v>10.836540230413339</v>
      </c>
      <c r="J20" s="18">
        <f t="shared" si="6"/>
        <v>1.0046167148983589</v>
      </c>
      <c r="K20" s="18">
        <f t="shared" si="6"/>
        <v>0.99588850307017651</v>
      </c>
      <c r="L20" s="18">
        <f t="shared" si="6"/>
        <v>0.99151057721068003</v>
      </c>
      <c r="M20" s="18">
        <f t="shared" si="6"/>
        <v>0.98715189671326198</v>
      </c>
      <c r="N20" s="18">
        <f t="shared" si="6"/>
        <v>0.98704150413535396</v>
      </c>
      <c r="O20" s="18">
        <f t="shared" si="6"/>
        <v>0</v>
      </c>
      <c r="P20" s="18">
        <f t="shared" si="6"/>
        <v>0</v>
      </c>
      <c r="Q20" s="18">
        <f t="shared" si="6"/>
        <v>0</v>
      </c>
      <c r="R20" s="18">
        <f t="shared" si="6"/>
        <v>0</v>
      </c>
      <c r="S20" s="18">
        <f t="shared" si="6"/>
        <v>0</v>
      </c>
      <c r="T20" s="18">
        <f t="shared" si="6"/>
        <v>0</v>
      </c>
      <c r="U20" s="18">
        <f t="shared" si="6"/>
        <v>0</v>
      </c>
      <c r="V20" s="18">
        <f t="shared" si="6"/>
        <v>0</v>
      </c>
      <c r="W20" s="18">
        <f t="shared" si="6"/>
        <v>0</v>
      </c>
      <c r="X20" s="18">
        <f t="shared" si="6"/>
        <v>0</v>
      </c>
      <c r="Y20" s="50"/>
      <c r="Z20" s="50"/>
    </row>
    <row r="21" spans="1:26" x14ac:dyDescent="0.75">
      <c r="A21" s="57" t="s">
        <v>85</v>
      </c>
      <c r="B21" s="58">
        <v>0</v>
      </c>
      <c r="C21" s="59">
        <f t="shared" ref="C21:X21" si="7">C7-C11-C13+C20</f>
        <v>49.78416</v>
      </c>
      <c r="D21" s="59">
        <f t="shared" si="7"/>
        <v>49.567937436287998</v>
      </c>
      <c r="E21" s="59">
        <f t="shared" si="7"/>
        <v>49.351345376866398</v>
      </c>
      <c r="F21" s="59">
        <f t="shared" si="7"/>
        <v>49.134396862589689</v>
      </c>
      <c r="G21" s="59">
        <f t="shared" si="7"/>
        <v>48.917104905904566</v>
      </c>
      <c r="H21" s="59">
        <f t="shared" si="7"/>
        <v>48.699482489599177</v>
      </c>
      <c r="I21" s="59">
        <f t="shared" si="7"/>
        <v>58.484113898237176</v>
      </c>
      <c r="J21" s="59">
        <f t="shared" si="7"/>
        <v>58.22547375293361</v>
      </c>
      <c r="K21" s="59">
        <f t="shared" si="7"/>
        <v>57.969514570315717</v>
      </c>
      <c r="L21" s="59">
        <f t="shared" si="7"/>
        <v>57.714680584264606</v>
      </c>
      <c r="M21" s="59">
        <f t="shared" si="7"/>
        <v>57.460966848416184</v>
      </c>
      <c r="N21" s="59">
        <f t="shared" si="7"/>
        <v>57.20685146862575</v>
      </c>
      <c r="O21" s="59">
        <f t="shared" si="7"/>
        <v>55.965462791756572</v>
      </c>
      <c r="P21" s="59">
        <f t="shared" si="7"/>
        <v>54.745415702896274</v>
      </c>
      <c r="Q21" s="59">
        <f t="shared" si="7"/>
        <v>53.551965640573137</v>
      </c>
      <c r="R21" s="59">
        <f t="shared" si="7"/>
        <v>52.389887986172695</v>
      </c>
      <c r="S21" s="59">
        <f t="shared" si="7"/>
        <v>51.258266405671371</v>
      </c>
      <c r="T21" s="59">
        <f t="shared" si="7"/>
        <v>50.151087851308873</v>
      </c>
      <c r="U21" s="59">
        <f t="shared" si="7"/>
        <v>49.072839462505733</v>
      </c>
      <c r="V21" s="59">
        <f t="shared" si="7"/>
        <v>48.017773414061857</v>
      </c>
      <c r="W21" s="59">
        <f t="shared" si="7"/>
        <v>46.990193063000937</v>
      </c>
      <c r="X21" s="59">
        <f t="shared" si="7"/>
        <v>45.98460293145272</v>
      </c>
      <c r="Y21" s="50"/>
      <c r="Z21" s="50"/>
    </row>
    <row r="22" spans="1:26" ht="15" customHeight="1" x14ac:dyDescent="0.75">
      <c r="A22" s="8" t="s">
        <v>86</v>
      </c>
      <c r="B22" s="24">
        <v>0</v>
      </c>
      <c r="C22" s="24">
        <f>IF(C$5=Assumptions!$F$40,Assumptions!$B$36,0)</f>
        <v>0</v>
      </c>
      <c r="D22" s="24">
        <f>IF(D$5=Assumptions!$F$40,Assumptions!$B$36,0)</f>
        <v>0</v>
      </c>
      <c r="E22" s="24">
        <f>IF(E$5=Assumptions!$F$40,Assumptions!$B$36,0)</f>
        <v>0</v>
      </c>
      <c r="F22" s="24">
        <f>IF(F$5=Assumptions!$F$40,Assumptions!$B$36,0)</f>
        <v>0</v>
      </c>
      <c r="G22" s="24">
        <f>IF(G$5=Assumptions!$F$40,Assumptions!$B$36,0)</f>
        <v>0</v>
      </c>
      <c r="H22" s="24">
        <f>IF(H$5=Assumptions!$F$40,Assumptions!$B$36,0)</f>
        <v>0</v>
      </c>
      <c r="I22" s="24">
        <f>IF(I$5=Assumptions!$F$40,Assumptions!$B$36,0)</f>
        <v>0</v>
      </c>
      <c r="J22" s="24">
        <f>IF(J$5=Assumptions!$F$40,Assumptions!$B$36,0)</f>
        <v>0</v>
      </c>
      <c r="K22" s="24">
        <f>IF(K$5=Assumptions!$F$40,Assumptions!$B$36,0)</f>
        <v>0</v>
      </c>
      <c r="L22" s="24">
        <f>IF(L$5=Assumptions!$F$40,Assumptions!$B$36,0)</f>
        <v>0</v>
      </c>
      <c r="M22" s="24">
        <f>IF(M$5=Assumptions!$F$40,Assumptions!$B$36,0)</f>
        <v>0</v>
      </c>
      <c r="N22" s="24">
        <f>IF(N$5=Assumptions!$F$40,Assumptions!$B$36,0)</f>
        <v>0</v>
      </c>
      <c r="O22" s="24">
        <f>IF(O$5=Assumptions!$F$40,Assumptions!$B$36,0)</f>
        <v>0</v>
      </c>
      <c r="P22" s="24">
        <f>IF(P$5=Assumptions!$F$40,Assumptions!$B$36,0)</f>
        <v>0</v>
      </c>
      <c r="Q22" s="24">
        <f>IF(Q$5=Assumptions!$F$40,Assumptions!$B$36,0)</f>
        <v>0</v>
      </c>
      <c r="R22" s="24">
        <f>IF(R$5=Assumptions!$F$40,Assumptions!$B$36,0)</f>
        <v>0</v>
      </c>
      <c r="S22" s="24">
        <f>IF(S$5=Assumptions!$F$40,Assumptions!$B$36,0)</f>
        <v>0</v>
      </c>
      <c r="T22" s="24">
        <f>IF(T$5=Assumptions!$F$40,Assumptions!$B$36,0)</f>
        <v>0</v>
      </c>
      <c r="U22" s="24">
        <f>IF(U$5=Assumptions!$F$40,Assumptions!$B$36,0)</f>
        <v>0</v>
      </c>
      <c r="V22" s="24">
        <f>IF(V$5=Assumptions!$F$40,Assumptions!$B$36,0)</f>
        <v>0</v>
      </c>
      <c r="W22" s="24">
        <f>IF(W$5=Assumptions!$F$40,Assumptions!$B$36,0)</f>
        <v>0</v>
      </c>
      <c r="X22" s="24">
        <f>IF(X$5=Assumptions!$F$40,Assumptions!$F$36,0)</f>
        <v>0.98499999999999999</v>
      </c>
      <c r="Y22" s="50"/>
      <c r="Z22" s="50"/>
    </row>
    <row r="23" spans="1:26" x14ac:dyDescent="0.75">
      <c r="A23" s="60" t="s">
        <v>87</v>
      </c>
      <c r="B23" s="61">
        <v>0</v>
      </c>
      <c r="C23" s="62">
        <f>IF(C$5=Assumptions!$F$40,C21*C22,0)</f>
        <v>0</v>
      </c>
      <c r="D23" s="62">
        <f>IF(D$5=Assumptions!$F$40,D21*D22,0)</f>
        <v>0</v>
      </c>
      <c r="E23" s="62">
        <f>IF(E$5=Assumptions!$F$40,E21*E22,0)</f>
        <v>0</v>
      </c>
      <c r="F23" s="62">
        <f>IF(F$5=Assumptions!$F$40,F21*F22,0)</f>
        <v>0</v>
      </c>
      <c r="G23" s="62">
        <f>IF(G$5=Assumptions!$F$40,G21*G22,0)</f>
        <v>0</v>
      </c>
      <c r="H23" s="62">
        <f>IF(H$5=Assumptions!$F$40,H21*H22,0)</f>
        <v>0</v>
      </c>
      <c r="I23" s="62">
        <f>IF(I$5=Assumptions!$F$40,I21*I22,0)</f>
        <v>0</v>
      </c>
      <c r="J23" s="62">
        <f>IF(J$5=Assumptions!$F$40,J21*J22,0)</f>
        <v>0</v>
      </c>
      <c r="K23" s="62">
        <f>IF(K$5=Assumptions!$F$40,K21*K22,0)</f>
        <v>0</v>
      </c>
      <c r="L23" s="62">
        <f>IF(L$5=Assumptions!$F$40,L21*L22,0)</f>
        <v>0</v>
      </c>
      <c r="M23" s="62">
        <f>IF(M$5=Assumptions!$F$40,M21*M22,0)</f>
        <v>0</v>
      </c>
      <c r="N23" s="62">
        <f>IF(N$5=Assumptions!$F$40,N21*N22,0)</f>
        <v>0</v>
      </c>
      <c r="O23" s="62">
        <f>IF(O$5=Assumptions!$F$40,O21*O22,0)</f>
        <v>0</v>
      </c>
      <c r="P23" s="62">
        <f>IF(P$5=Assumptions!$F$40,P21*P22,0)</f>
        <v>0</v>
      </c>
      <c r="Q23" s="62">
        <f>IF(Q$5=Assumptions!$F$40,Q21*Q22,0)</f>
        <v>0</v>
      </c>
      <c r="R23" s="62">
        <f>IF(R$5=Assumptions!$F$40,R21*R22,0)</f>
        <v>0</v>
      </c>
      <c r="S23" s="62">
        <f>IF(S$5=Assumptions!$F$40,S21*S22,0)</f>
        <v>0</v>
      </c>
      <c r="T23" s="62">
        <f>IF(T$5=Assumptions!$F$40,T21*T22,0)</f>
        <v>0</v>
      </c>
      <c r="U23" s="62">
        <f>IF(U$5=Assumptions!$F$40,U21*U22,0)</f>
        <v>0</v>
      </c>
      <c r="V23" s="62">
        <f>IF(V$5=Assumptions!$F$40,V21*V22,0)</f>
        <v>0</v>
      </c>
      <c r="W23" s="62">
        <f>IF(W$5=Assumptions!$F$40,W21*W22,0)</f>
        <v>0</v>
      </c>
      <c r="X23" s="62">
        <f>IF(X$5=Assumptions!$F$40,X21*X22,0)</f>
        <v>45.294833887480927</v>
      </c>
      <c r="Y23" s="50"/>
      <c r="Z23" s="50"/>
    </row>
    <row r="24" spans="1:26" x14ac:dyDescent="0.75">
      <c r="A24" s="8" t="s">
        <v>88</v>
      </c>
      <c r="B24" s="18">
        <v>0</v>
      </c>
      <c r="C24" s="18">
        <f t="shared" ref="C24:X24" si="8">(C7+C21)/2</f>
        <v>49.89208</v>
      </c>
      <c r="D24" s="18">
        <f t="shared" si="8"/>
        <v>49.676048718144003</v>
      </c>
      <c r="E24" s="18">
        <f t="shared" si="8"/>
        <v>49.459641406577198</v>
      </c>
      <c r="F24" s="18">
        <f t="shared" si="8"/>
        <v>49.242871119728044</v>
      </c>
      <c r="G24" s="18">
        <f t="shared" si="8"/>
        <v>49.025750884247131</v>
      </c>
      <c r="H24" s="18">
        <f t="shared" si="8"/>
        <v>48.808293697751871</v>
      </c>
      <c r="I24" s="18">
        <f t="shared" si="8"/>
        <v>53.59179819391818</v>
      </c>
      <c r="J24" s="18">
        <f t="shared" si="8"/>
        <v>58.354793825585389</v>
      </c>
      <c r="K24" s="18">
        <f t="shared" si="8"/>
        <v>58.097494161624667</v>
      </c>
      <c r="L24" s="18">
        <f t="shared" si="8"/>
        <v>57.842097577290161</v>
      </c>
      <c r="M24" s="18">
        <f t="shared" si="8"/>
        <v>57.587823716340395</v>
      </c>
      <c r="N24" s="18">
        <f t="shared" si="8"/>
        <v>57.333909158520967</v>
      </c>
      <c r="O24" s="18">
        <f t="shared" si="8"/>
        <v>56.586157130191161</v>
      </c>
      <c r="P24" s="18">
        <f t="shared" si="8"/>
        <v>55.355439247326423</v>
      </c>
      <c r="Q24" s="18">
        <f t="shared" si="8"/>
        <v>54.148690671734705</v>
      </c>
      <c r="R24" s="18">
        <f t="shared" si="8"/>
        <v>52.970926813372913</v>
      </c>
      <c r="S24" s="18">
        <f t="shared" si="8"/>
        <v>51.82407719592203</v>
      </c>
      <c r="T24" s="18">
        <f t="shared" si="8"/>
        <v>50.704677128490118</v>
      </c>
      <c r="U24" s="18">
        <f t="shared" si="8"/>
        <v>49.611963656907307</v>
      </c>
      <c r="V24" s="18">
        <f t="shared" si="8"/>
        <v>48.545306438283795</v>
      </c>
      <c r="W24" s="18">
        <f t="shared" si="8"/>
        <v>47.503983238531397</v>
      </c>
      <c r="X24" s="18">
        <f t="shared" si="8"/>
        <v>46.487397997226829</v>
      </c>
      <c r="Y24" s="50"/>
      <c r="Z24" s="50"/>
    </row>
    <row r="26" spans="1:26" ht="19.5" customHeight="1" x14ac:dyDescent="0.95">
      <c r="A26" s="48" t="s">
        <v>89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 x14ac:dyDescent="0.75">
      <c r="A27" s="6" t="s">
        <v>73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75">
      <c r="A28" s="51"/>
      <c r="B28" s="51">
        <v>0</v>
      </c>
      <c r="C28" s="51">
        <v>1</v>
      </c>
      <c r="D28" s="51">
        <v>2</v>
      </c>
      <c r="E28" s="51">
        <v>3</v>
      </c>
      <c r="F28" s="51">
        <v>4</v>
      </c>
      <c r="G28" s="51">
        <v>5</v>
      </c>
      <c r="H28" s="51">
        <v>6</v>
      </c>
      <c r="I28" s="51">
        <v>7</v>
      </c>
      <c r="J28" s="51">
        <v>8</v>
      </c>
      <c r="K28" s="51">
        <v>9</v>
      </c>
      <c r="L28" s="51">
        <v>10</v>
      </c>
      <c r="M28" s="51">
        <v>11</v>
      </c>
      <c r="N28" s="51">
        <v>12</v>
      </c>
      <c r="O28" s="51">
        <v>13</v>
      </c>
      <c r="P28" s="51">
        <v>14</v>
      </c>
      <c r="Q28" s="51">
        <v>15</v>
      </c>
      <c r="R28" s="51">
        <v>16</v>
      </c>
      <c r="S28" s="51">
        <v>17</v>
      </c>
      <c r="T28" s="51">
        <v>18</v>
      </c>
      <c r="U28" s="51">
        <v>19</v>
      </c>
      <c r="V28" s="51">
        <v>20</v>
      </c>
      <c r="W28" s="51">
        <v>21</v>
      </c>
      <c r="X28" s="51">
        <v>22</v>
      </c>
      <c r="Y28" s="51">
        <v>23</v>
      </c>
      <c r="Z28" s="51">
        <v>24</v>
      </c>
    </row>
    <row r="29" spans="1:26" x14ac:dyDescent="0.75">
      <c r="A29" s="52"/>
      <c r="B29" s="52" t="s">
        <v>74</v>
      </c>
      <c r="C29" s="52">
        <v>46053</v>
      </c>
      <c r="D29" s="52">
        <v>46081</v>
      </c>
      <c r="E29" s="52">
        <v>46112</v>
      </c>
      <c r="F29" s="52">
        <v>46142</v>
      </c>
      <c r="G29" s="52">
        <v>46173</v>
      </c>
      <c r="H29" s="52">
        <v>46203</v>
      </c>
      <c r="I29" s="52">
        <v>46234</v>
      </c>
      <c r="J29" s="52">
        <v>46265</v>
      </c>
      <c r="K29" s="52">
        <v>46295</v>
      </c>
      <c r="L29" s="52">
        <v>46326</v>
      </c>
      <c r="M29" s="52">
        <v>46356</v>
      </c>
      <c r="N29" s="52">
        <v>46387</v>
      </c>
      <c r="O29" s="52">
        <v>46418</v>
      </c>
      <c r="P29" s="52">
        <v>46446</v>
      </c>
      <c r="Q29" s="52">
        <v>46477</v>
      </c>
      <c r="R29" s="52">
        <v>46507</v>
      </c>
      <c r="S29" s="52">
        <v>46538</v>
      </c>
      <c r="T29" s="52">
        <v>46568</v>
      </c>
      <c r="U29" s="52">
        <v>46599</v>
      </c>
      <c r="V29" s="52">
        <v>46630</v>
      </c>
      <c r="W29" s="52">
        <v>46660</v>
      </c>
      <c r="X29" s="52">
        <v>46691</v>
      </c>
      <c r="Y29" s="52">
        <v>46721</v>
      </c>
      <c r="Z29" s="52">
        <v>46752</v>
      </c>
    </row>
    <row r="30" spans="1:26" x14ac:dyDescent="0.75">
      <c r="A30" s="21" t="s">
        <v>75</v>
      </c>
      <c r="B30" s="53">
        <v>0</v>
      </c>
      <c r="C30" s="54">
        <f>IF(C$5=1,Assumptions!$B$8,B44)</f>
        <v>50</v>
      </c>
      <c r="D30" s="54">
        <f>IF(D$28=1,Assumptions!$B$8,C44)</f>
        <v>49.997600000000006</v>
      </c>
      <c r="E30" s="54">
        <f>IF(E$28=1,Assumptions!$B$8,D44)</f>
        <v>49.995200115200014</v>
      </c>
      <c r="F30" s="54">
        <f>IF(F$28=1,Assumptions!$B$8,E44)</f>
        <v>49.992500374393785</v>
      </c>
      <c r="G30" s="54">
        <f>IF(G$28=1,Assumptions!$B$8,F44)</f>
        <v>49.989800779373567</v>
      </c>
      <c r="H30" s="54">
        <f>IF(H$28=1,Assumptions!$B$8,G44)</f>
        <v>49.9868013913268</v>
      </c>
      <c r="I30" s="54">
        <f>IF(I$28=1,Assumptions!$B$8,H44)</f>
        <v>49.98380218324332</v>
      </c>
      <c r="J30" s="54">
        <f>IF(J$28=1,Assumptions!$B$8,I44)</f>
        <v>59.981103057925424</v>
      </c>
      <c r="K30" s="54">
        <f>IF(K$28=1,Assumptions!$B$8,J44)</f>
        <v>59.977864078360298</v>
      </c>
      <c r="L30" s="54">
        <f>IF(L$28=1,Assumptions!$B$8,K44)</f>
        <v>59.97462527370007</v>
      </c>
      <c r="M30" s="54">
        <f>IF(M$28=1,Assumptions!$B$8,L44)</f>
        <v>59.971746491686936</v>
      </c>
      <c r="N30" s="54">
        <f>IF(N$28=1,Assumptions!$B$8,M44)</f>
        <v>59.968867847855329</v>
      </c>
      <c r="O30" s="54">
        <f>IF(O$28=1,Assumptions!$B$8,N44)</f>
        <v>59.965989342198633</v>
      </c>
      <c r="P30" s="54">
        <f>IF(P$28=1,Assumptions!$B$8,O44)</f>
        <v>64.963110974710204</v>
      </c>
      <c r="Q30" s="54">
        <f>IF(Q$28=1,Assumptions!$B$8,P44)</f>
        <v>64.959992745383417</v>
      </c>
      <c r="R30" s="54">
        <f>IF(R$28=1,Assumptions!$B$8,Q44)</f>
        <v>64.956874665731632</v>
      </c>
      <c r="S30" s="54">
        <f>IF(S$28=1,Assumptions!$B$8,R44)</f>
        <v>64.953756735747675</v>
      </c>
      <c r="T30" s="54">
        <f>IF(T$28=1,Assumptions!$B$8,S44)</f>
        <v>64.950638955424353</v>
      </c>
      <c r="U30" s="54">
        <f>IF(U$28=1,Assumptions!$B$8,T44)</f>
        <v>64.94752132475449</v>
      </c>
      <c r="V30" s="54">
        <f>IF(V$28=1,Assumptions!$B$8,U44)</f>
        <v>64.944403843730896</v>
      </c>
      <c r="W30" s="54">
        <f>IF(W$28=1,Assumptions!$B$8,V44)</f>
        <v>64.941286512346394</v>
      </c>
      <c r="X30" s="54">
        <f>IF(X$28=1,Assumptions!$B$8,W44)</f>
        <v>63.720390325914281</v>
      </c>
      <c r="Y30" s="54">
        <f>IF(Y$28=1,Assumptions!$B$8,X44)</f>
        <v>62.522446987787092</v>
      </c>
      <c r="Z30" s="54">
        <f>IF(Z$28=1,Assumptions!$B$8,Y44)</f>
        <v>61.347024984416699</v>
      </c>
    </row>
    <row r="31" spans="1:26" x14ac:dyDescent="0.75">
      <c r="A31" s="8" t="s">
        <v>26</v>
      </c>
      <c r="B31" s="24">
        <v>0</v>
      </c>
      <c r="C31" s="50">
        <f>+Assumptions!$G$27</f>
        <v>0.125</v>
      </c>
      <c r="D31" s="50">
        <f>+Assumptions!$G$27</f>
        <v>0.125</v>
      </c>
      <c r="E31" s="50">
        <f>+Assumptions!$G$27</f>
        <v>0.125</v>
      </c>
      <c r="F31" s="50">
        <f>+Assumptions!$G$27</f>
        <v>0.125</v>
      </c>
      <c r="G31" s="50">
        <f>+Assumptions!$G$27</f>
        <v>0.125</v>
      </c>
      <c r="H31" s="50">
        <f>+Assumptions!$G$27</f>
        <v>0.125</v>
      </c>
      <c r="I31" s="50">
        <f>+Assumptions!$G$27</f>
        <v>0.125</v>
      </c>
      <c r="J31" s="50">
        <f>+Assumptions!$G$27</f>
        <v>0.125</v>
      </c>
      <c r="K31" s="50">
        <f>+Assumptions!$G$27</f>
        <v>0.125</v>
      </c>
      <c r="L31" s="50">
        <f>+Assumptions!$G$27</f>
        <v>0.125</v>
      </c>
      <c r="M31" s="50">
        <f>+Assumptions!$G$27</f>
        <v>0.125</v>
      </c>
      <c r="N31" s="50">
        <f>+Assumptions!$G$27</f>
        <v>0.125</v>
      </c>
      <c r="O31" s="50">
        <f>+Assumptions!$G$27</f>
        <v>0.125</v>
      </c>
      <c r="P31" s="50">
        <f>+Assumptions!$G$27</f>
        <v>0.125</v>
      </c>
      <c r="Q31" s="50">
        <f>+Assumptions!$G$27</f>
        <v>0.125</v>
      </c>
      <c r="R31" s="50">
        <f>+Assumptions!$G$27</f>
        <v>0.125</v>
      </c>
      <c r="S31" s="50">
        <f>+Assumptions!$G$27</f>
        <v>0.125</v>
      </c>
      <c r="T31" s="50">
        <f>+Assumptions!$G$27</f>
        <v>0.125</v>
      </c>
      <c r="U31" s="50">
        <f>+Assumptions!$G$27</f>
        <v>0.125</v>
      </c>
      <c r="V31" s="50">
        <f>+Assumptions!$G$27</f>
        <v>0.125</v>
      </c>
      <c r="W31" s="50">
        <f>+Assumptions!$G$27</f>
        <v>0.125</v>
      </c>
      <c r="X31" s="50">
        <f>+Assumptions!$G$27</f>
        <v>0.125</v>
      </c>
      <c r="Y31" s="50">
        <f>+Assumptions!$G$27</f>
        <v>0.125</v>
      </c>
      <c r="Z31" s="50">
        <f>+Assumptions!$G$27</f>
        <v>0.125</v>
      </c>
    </row>
    <row r="32" spans="1:26" x14ac:dyDescent="0.75">
      <c r="A32" s="8" t="s">
        <v>76</v>
      </c>
      <c r="B32" s="18">
        <v>0</v>
      </c>
      <c r="C32" s="18">
        <f t="shared" ref="C32:Z32" si="9">C30*C31/12</f>
        <v>0.52083333333333337</v>
      </c>
      <c r="D32" s="18">
        <f t="shared" si="9"/>
        <v>0.52080833333333343</v>
      </c>
      <c r="E32" s="18">
        <f t="shared" si="9"/>
        <v>0.52078333453333348</v>
      </c>
      <c r="F32" s="18">
        <f t="shared" si="9"/>
        <v>0.52075521223326859</v>
      </c>
      <c r="G32" s="18">
        <f t="shared" si="9"/>
        <v>0.52072709145180796</v>
      </c>
      <c r="H32" s="18">
        <f t="shared" si="9"/>
        <v>0.52069584782632083</v>
      </c>
      <c r="I32" s="18">
        <f t="shared" si="9"/>
        <v>0.52066460607545129</v>
      </c>
      <c r="J32" s="18">
        <f t="shared" si="9"/>
        <v>0.62480315685338983</v>
      </c>
      <c r="K32" s="18">
        <f t="shared" si="9"/>
        <v>0.62476941748291981</v>
      </c>
      <c r="L32" s="18">
        <f t="shared" si="9"/>
        <v>0.62473567993437573</v>
      </c>
      <c r="M32" s="18">
        <f t="shared" si="9"/>
        <v>0.62470569262173892</v>
      </c>
      <c r="N32" s="18">
        <f t="shared" si="9"/>
        <v>0.62467570674849304</v>
      </c>
      <c r="O32" s="18">
        <f t="shared" si="9"/>
        <v>0.62464572231456905</v>
      </c>
      <c r="P32" s="18">
        <f t="shared" si="9"/>
        <v>0.67669907265323126</v>
      </c>
      <c r="Q32" s="18">
        <f t="shared" si="9"/>
        <v>0.67666659109774396</v>
      </c>
      <c r="R32" s="18">
        <f t="shared" si="9"/>
        <v>0.67663411110137117</v>
      </c>
      <c r="S32" s="18">
        <f t="shared" si="9"/>
        <v>0.67660163266403828</v>
      </c>
      <c r="T32" s="18">
        <f t="shared" si="9"/>
        <v>0.67656915578567034</v>
      </c>
      <c r="U32" s="18">
        <f t="shared" si="9"/>
        <v>0.67653668046619264</v>
      </c>
      <c r="V32" s="18">
        <f t="shared" si="9"/>
        <v>0.67650420670553013</v>
      </c>
      <c r="W32" s="18">
        <f t="shared" si="9"/>
        <v>0.67647173450360831</v>
      </c>
      <c r="X32" s="18">
        <f t="shared" si="9"/>
        <v>0.66375406589494046</v>
      </c>
      <c r="Y32" s="18">
        <f t="shared" si="9"/>
        <v>0.65127548945611557</v>
      </c>
      <c r="Z32" s="18">
        <f t="shared" si="9"/>
        <v>0.63903151025434057</v>
      </c>
    </row>
    <row r="33" spans="1:26" x14ac:dyDescent="0.75">
      <c r="A33" s="8" t="s">
        <v>27</v>
      </c>
      <c r="B33" s="24">
        <v>0</v>
      </c>
      <c r="C33" s="50">
        <f>+Assumptions!$G$28</f>
        <v>1.7999999999999999E-2</v>
      </c>
      <c r="D33" s="50">
        <f>+Assumptions!$G$28</f>
        <v>1.7999999999999999E-2</v>
      </c>
      <c r="E33" s="50">
        <f>+Assumptions!$G$28</f>
        <v>1.7999999999999999E-2</v>
      </c>
      <c r="F33" s="50">
        <f>+Assumptions!$G$28</f>
        <v>1.7999999999999999E-2</v>
      </c>
      <c r="G33" s="50">
        <f>+Assumptions!$G$28</f>
        <v>1.7999999999999999E-2</v>
      </c>
      <c r="H33" s="50">
        <f>+Assumptions!$G$28</f>
        <v>1.7999999999999999E-2</v>
      </c>
      <c r="I33" s="50">
        <f>+Assumptions!$G$28</f>
        <v>1.7999999999999999E-2</v>
      </c>
      <c r="J33" s="50">
        <f>+Assumptions!$G$28</f>
        <v>1.7999999999999999E-2</v>
      </c>
      <c r="K33" s="50">
        <f>+Assumptions!$G$28</f>
        <v>1.7999999999999999E-2</v>
      </c>
      <c r="L33" s="50">
        <f>+Assumptions!$G$28</f>
        <v>1.7999999999999999E-2</v>
      </c>
      <c r="M33" s="50">
        <f>+Assumptions!$G$28</f>
        <v>1.7999999999999999E-2</v>
      </c>
      <c r="N33" s="50">
        <f>+Assumptions!$G$28</f>
        <v>1.7999999999999999E-2</v>
      </c>
      <c r="O33" s="50">
        <f>+Assumptions!$G$28</f>
        <v>1.7999999999999999E-2</v>
      </c>
      <c r="P33" s="50">
        <f>+Assumptions!$G$28</f>
        <v>1.7999999999999999E-2</v>
      </c>
      <c r="Q33" s="50">
        <f>+Assumptions!$G$28</f>
        <v>1.7999999999999999E-2</v>
      </c>
      <c r="R33" s="50">
        <f>+Assumptions!$G$28</f>
        <v>1.7999999999999999E-2</v>
      </c>
      <c r="S33" s="50">
        <f>+Assumptions!$G$28</f>
        <v>1.7999999999999999E-2</v>
      </c>
      <c r="T33" s="50">
        <f>+Assumptions!$G$28</f>
        <v>1.7999999999999999E-2</v>
      </c>
      <c r="U33" s="50">
        <f>+Assumptions!$G$28</f>
        <v>1.7999999999999999E-2</v>
      </c>
      <c r="V33" s="50">
        <f>+Assumptions!$G$28</f>
        <v>1.7999999999999999E-2</v>
      </c>
      <c r="W33" s="50">
        <f>+Assumptions!$G$28</f>
        <v>1.7999999999999999E-2</v>
      </c>
      <c r="X33" s="50">
        <f>+Assumptions!$G$28</f>
        <v>1.7999999999999999E-2</v>
      </c>
      <c r="Y33" s="50">
        <f>+Assumptions!$G$28</f>
        <v>1.7999999999999999E-2</v>
      </c>
      <c r="Z33" s="50">
        <f>+Assumptions!$G$28</f>
        <v>1.7999999999999999E-2</v>
      </c>
    </row>
    <row r="34" spans="1:26" x14ac:dyDescent="0.75">
      <c r="A34" s="8" t="s">
        <v>77</v>
      </c>
      <c r="B34" s="18">
        <v>0</v>
      </c>
      <c r="C34" s="18">
        <f t="shared" ref="C34:Z34" si="10">C30*C33</f>
        <v>0.89999999999999991</v>
      </c>
      <c r="D34" s="18">
        <f t="shared" si="10"/>
        <v>0.8999568</v>
      </c>
      <c r="E34" s="18">
        <f t="shared" si="10"/>
        <v>0.89991360207360016</v>
      </c>
      <c r="F34" s="18">
        <f t="shared" si="10"/>
        <v>0.89986500673908809</v>
      </c>
      <c r="G34" s="18">
        <f t="shared" si="10"/>
        <v>0.89981641402872414</v>
      </c>
      <c r="H34" s="18">
        <f t="shared" si="10"/>
        <v>0.89976242504388237</v>
      </c>
      <c r="I34" s="18">
        <f t="shared" si="10"/>
        <v>0.89970843929837974</v>
      </c>
      <c r="J34" s="18">
        <f t="shared" si="10"/>
        <v>1.0796598550426575</v>
      </c>
      <c r="K34" s="18">
        <f t="shared" si="10"/>
        <v>1.0796015534104852</v>
      </c>
      <c r="L34" s="18">
        <f t="shared" si="10"/>
        <v>1.0795432549266011</v>
      </c>
      <c r="M34" s="18">
        <f t="shared" si="10"/>
        <v>1.0794914368503647</v>
      </c>
      <c r="N34" s="18">
        <f t="shared" si="10"/>
        <v>1.0794396212613959</v>
      </c>
      <c r="O34" s="18">
        <f t="shared" si="10"/>
        <v>1.0793878081595754</v>
      </c>
      <c r="P34" s="18">
        <f t="shared" si="10"/>
        <v>1.1693359975447837</v>
      </c>
      <c r="Q34" s="18">
        <f t="shared" si="10"/>
        <v>1.1692798694169013</v>
      </c>
      <c r="R34" s="18">
        <f t="shared" si="10"/>
        <v>1.1692237439831692</v>
      </c>
      <c r="S34" s="18">
        <f t="shared" si="10"/>
        <v>1.1691676212434581</v>
      </c>
      <c r="T34" s="18">
        <f t="shared" si="10"/>
        <v>1.1691115011976383</v>
      </c>
      <c r="U34" s="18">
        <f t="shared" si="10"/>
        <v>1.1690553838455808</v>
      </c>
      <c r="V34" s="18">
        <f t="shared" si="10"/>
        <v>1.168999269187156</v>
      </c>
      <c r="W34" s="18">
        <f t="shared" si="10"/>
        <v>1.1689431572222351</v>
      </c>
      <c r="X34" s="18">
        <f t="shared" si="10"/>
        <v>1.146967025866457</v>
      </c>
      <c r="Y34" s="18">
        <f t="shared" si="10"/>
        <v>1.1254040457801675</v>
      </c>
      <c r="Z34" s="18">
        <f t="shared" si="10"/>
        <v>1.1042464497195006</v>
      </c>
    </row>
    <row r="35" spans="1:26" x14ac:dyDescent="0.75">
      <c r="A35" s="8" t="s">
        <v>78</v>
      </c>
      <c r="B35" s="24">
        <v>0</v>
      </c>
      <c r="C35" s="50">
        <f>'Monthly Data'!Y$5</f>
        <v>8.0000000000000004E-4</v>
      </c>
      <c r="D35" s="50">
        <f>'Monthly Data'!Z$5</f>
        <v>8.0000000000000004E-4</v>
      </c>
      <c r="E35" s="50">
        <f>'Monthly Data'!AA$5</f>
        <v>8.9999999999999998E-4</v>
      </c>
      <c r="F35" s="50">
        <f>'Monthly Data'!AB$5</f>
        <v>8.9999999999999998E-4</v>
      </c>
      <c r="G35" s="50">
        <f>'Monthly Data'!AC$5</f>
        <v>1E-3</v>
      </c>
      <c r="H35" s="50">
        <f>'Monthly Data'!AD$5</f>
        <v>1E-3</v>
      </c>
      <c r="I35" s="50">
        <f>'Monthly Data'!AE$5</f>
        <v>8.9999999999999998E-4</v>
      </c>
      <c r="J35" s="50">
        <f>'Monthly Data'!AF$5</f>
        <v>8.9999999999999998E-4</v>
      </c>
      <c r="K35" s="50">
        <f>'Monthly Data'!AG$5</f>
        <v>8.9999999999999998E-4</v>
      </c>
      <c r="L35" s="50">
        <f>'Monthly Data'!AH$5</f>
        <v>8.0000000000000004E-4</v>
      </c>
      <c r="M35" s="50">
        <f>'Monthly Data'!AI$5</f>
        <v>8.0000000000000004E-4</v>
      </c>
      <c r="N35" s="50">
        <f>'Monthly Data'!AJ$5</f>
        <v>8.0000000000000004E-4</v>
      </c>
      <c r="O35" s="50">
        <f>'Monthly Data'!AK$5</f>
        <v>8.0000000000000004E-4</v>
      </c>
      <c r="P35" s="50">
        <f>'Monthly Data'!AL$5</f>
        <v>8.0000000000000004E-4</v>
      </c>
      <c r="Q35" s="50">
        <f>'Monthly Data'!AM$5</f>
        <v>8.0000000000000004E-4</v>
      </c>
      <c r="R35" s="50">
        <f>'Monthly Data'!AN$5</f>
        <v>8.0000000000000004E-4</v>
      </c>
      <c r="S35" s="50">
        <f>'Monthly Data'!AO$5</f>
        <v>8.0000000000000004E-4</v>
      </c>
      <c r="T35" s="50">
        <f>'Monthly Data'!AP$5</f>
        <v>8.0000000000000004E-4</v>
      </c>
      <c r="U35" s="50">
        <f>'Monthly Data'!AQ$5</f>
        <v>8.0000000000000004E-4</v>
      </c>
      <c r="V35" s="50">
        <f>'Monthly Data'!AR$5</f>
        <v>8.0000000000000004E-4</v>
      </c>
      <c r="W35" s="50">
        <f>'Monthly Data'!AS$5</f>
        <v>8.0000000000000004E-4</v>
      </c>
      <c r="X35" s="50">
        <f>'Monthly Data'!AT$5</f>
        <v>8.0000000000000004E-4</v>
      </c>
      <c r="Y35" s="50">
        <f>'Monthly Data'!AU$5</f>
        <v>8.0000000000000004E-4</v>
      </c>
      <c r="Z35" s="50">
        <f>'Monthly Data'!AV$5</f>
        <v>8.0000000000000004E-4</v>
      </c>
    </row>
    <row r="36" spans="1:26" x14ac:dyDescent="0.75">
      <c r="A36" s="8" t="s">
        <v>79</v>
      </c>
      <c r="B36" s="18">
        <v>0</v>
      </c>
      <c r="C36" s="18">
        <f t="shared" ref="C36:Z36" si="11">C30*C35</f>
        <v>0.04</v>
      </c>
      <c r="D36" s="18">
        <f t="shared" si="11"/>
        <v>3.9998080000000005E-2</v>
      </c>
      <c r="E36" s="18">
        <f t="shared" si="11"/>
        <v>4.4995680103680012E-2</v>
      </c>
      <c r="F36" s="18">
        <f t="shared" si="11"/>
        <v>4.4993250336954407E-2</v>
      </c>
      <c r="G36" s="18">
        <f t="shared" si="11"/>
        <v>4.9989800779373567E-2</v>
      </c>
      <c r="H36" s="18">
        <f t="shared" si="11"/>
        <v>4.9986801391326802E-2</v>
      </c>
      <c r="I36" s="18">
        <f t="shared" si="11"/>
        <v>4.498542196491899E-2</v>
      </c>
      <c r="J36" s="18">
        <f t="shared" si="11"/>
        <v>5.3982992752132877E-2</v>
      </c>
      <c r="K36" s="18">
        <f t="shared" si="11"/>
        <v>5.3980077670524269E-2</v>
      </c>
      <c r="L36" s="18">
        <f t="shared" si="11"/>
        <v>4.7979700218960059E-2</v>
      </c>
      <c r="M36" s="18">
        <f t="shared" si="11"/>
        <v>4.797739719334955E-2</v>
      </c>
      <c r="N36" s="18">
        <f t="shared" si="11"/>
        <v>4.7975094278284267E-2</v>
      </c>
      <c r="O36" s="18">
        <f t="shared" si="11"/>
        <v>4.7972791473758908E-2</v>
      </c>
      <c r="P36" s="18">
        <f t="shared" si="11"/>
        <v>5.1970488779768169E-2</v>
      </c>
      <c r="Q36" s="18">
        <f t="shared" si="11"/>
        <v>5.1967994196306738E-2</v>
      </c>
      <c r="R36" s="18">
        <f t="shared" si="11"/>
        <v>5.196549973258531E-2</v>
      </c>
      <c r="S36" s="18">
        <f t="shared" si="11"/>
        <v>5.1963005388598139E-2</v>
      </c>
      <c r="T36" s="18">
        <f t="shared" si="11"/>
        <v>5.1960511164339487E-2</v>
      </c>
      <c r="U36" s="18">
        <f t="shared" si="11"/>
        <v>5.1958017059803595E-2</v>
      </c>
      <c r="V36" s="18">
        <f t="shared" si="11"/>
        <v>5.1955523074984716E-2</v>
      </c>
      <c r="W36" s="18">
        <f t="shared" si="11"/>
        <v>5.195302920987712E-2</v>
      </c>
      <c r="X36" s="18">
        <f t="shared" si="11"/>
        <v>5.0976312260731425E-2</v>
      </c>
      <c r="Y36" s="18">
        <f t="shared" si="11"/>
        <v>5.0017957590229672E-2</v>
      </c>
      <c r="Z36" s="18">
        <f t="shared" si="11"/>
        <v>4.9077619987533364E-2</v>
      </c>
    </row>
    <row r="37" spans="1:26" x14ac:dyDescent="0.75">
      <c r="A37" s="8" t="s">
        <v>31</v>
      </c>
      <c r="B37" s="24">
        <v>0</v>
      </c>
      <c r="C37" s="50">
        <f>+Assumptions!$G$30</f>
        <v>0.94</v>
      </c>
      <c r="D37" s="50">
        <f>+Assumptions!$G$30</f>
        <v>0.94</v>
      </c>
      <c r="E37" s="50">
        <f>+Assumptions!$G$30</f>
        <v>0.94</v>
      </c>
      <c r="F37" s="50">
        <f>+Assumptions!$G$30</f>
        <v>0.94</v>
      </c>
      <c r="G37" s="50">
        <f>+Assumptions!$G$30</f>
        <v>0.94</v>
      </c>
      <c r="H37" s="50">
        <f>+Assumptions!$G$30</f>
        <v>0.94</v>
      </c>
      <c r="I37" s="50">
        <f>+Assumptions!$G$30</f>
        <v>0.94</v>
      </c>
      <c r="J37" s="50">
        <f>+Assumptions!$G$30</f>
        <v>0.94</v>
      </c>
      <c r="K37" s="50">
        <f>+Assumptions!$G$30</f>
        <v>0.94</v>
      </c>
      <c r="L37" s="50">
        <f>+Assumptions!$G$30</f>
        <v>0.94</v>
      </c>
      <c r="M37" s="50">
        <f>+Assumptions!$G$30</f>
        <v>0.94</v>
      </c>
      <c r="N37" s="50">
        <f>+Assumptions!$G$30</f>
        <v>0.94</v>
      </c>
      <c r="O37" s="50">
        <f>+Assumptions!$G$30</f>
        <v>0.94</v>
      </c>
      <c r="P37" s="50">
        <f>+Assumptions!$G$30</f>
        <v>0.94</v>
      </c>
      <c r="Q37" s="50">
        <f>+Assumptions!$G$30</f>
        <v>0.94</v>
      </c>
      <c r="R37" s="50">
        <f>+Assumptions!$G$30</f>
        <v>0.94</v>
      </c>
      <c r="S37" s="50">
        <f>+Assumptions!$G$30</f>
        <v>0.94</v>
      </c>
      <c r="T37" s="50">
        <f>+Assumptions!$G$30</f>
        <v>0.94</v>
      </c>
      <c r="U37" s="50">
        <f>+Assumptions!$G$30</f>
        <v>0.94</v>
      </c>
      <c r="V37" s="50">
        <f>+Assumptions!$G$30</f>
        <v>0.94</v>
      </c>
      <c r="W37" s="50">
        <f>+Assumptions!$G$30</f>
        <v>0.94</v>
      </c>
      <c r="X37" s="50">
        <f>+Assumptions!$G$30</f>
        <v>0.94</v>
      </c>
      <c r="Y37" s="50">
        <f>+Assumptions!$G$30</f>
        <v>0.94</v>
      </c>
      <c r="Z37" s="50">
        <f>+Assumptions!$G$30</f>
        <v>0.94</v>
      </c>
    </row>
    <row r="38" spans="1:26" x14ac:dyDescent="0.75">
      <c r="A38" s="8" t="s">
        <v>80</v>
      </c>
      <c r="B38" s="18">
        <v>0</v>
      </c>
      <c r="C38" s="18">
        <f t="shared" ref="C38:Z38" si="12">C36*C37</f>
        <v>3.7600000000000001E-2</v>
      </c>
      <c r="D38" s="18">
        <f t="shared" si="12"/>
        <v>3.7598195200000004E-2</v>
      </c>
      <c r="E38" s="18">
        <f t="shared" si="12"/>
        <v>4.2295939297459208E-2</v>
      </c>
      <c r="F38" s="18">
        <f t="shared" si="12"/>
        <v>4.2293655316737143E-2</v>
      </c>
      <c r="G38" s="18">
        <f t="shared" si="12"/>
        <v>4.6990412732611148E-2</v>
      </c>
      <c r="H38" s="18">
        <f t="shared" si="12"/>
        <v>4.6987593307847193E-2</v>
      </c>
      <c r="I38" s="18">
        <f t="shared" si="12"/>
        <v>4.2286296647023845E-2</v>
      </c>
      <c r="J38" s="18">
        <f t="shared" si="12"/>
        <v>5.0744013187004902E-2</v>
      </c>
      <c r="K38" s="18">
        <f t="shared" si="12"/>
        <v>5.0741273010292812E-2</v>
      </c>
      <c r="L38" s="18">
        <f t="shared" si="12"/>
        <v>4.5100918205822453E-2</v>
      </c>
      <c r="M38" s="18">
        <f t="shared" si="12"/>
        <v>4.5098753361748574E-2</v>
      </c>
      <c r="N38" s="18">
        <f t="shared" si="12"/>
        <v>4.5096588621587205E-2</v>
      </c>
      <c r="O38" s="18">
        <f t="shared" si="12"/>
        <v>4.5094423985333372E-2</v>
      </c>
      <c r="P38" s="18">
        <f t="shared" si="12"/>
        <v>4.8852259452982078E-2</v>
      </c>
      <c r="Q38" s="18">
        <f t="shared" si="12"/>
        <v>4.8849914544528333E-2</v>
      </c>
      <c r="R38" s="18">
        <f t="shared" si="12"/>
        <v>4.8847569748630186E-2</v>
      </c>
      <c r="S38" s="18">
        <f t="shared" si="12"/>
        <v>4.8845225065282251E-2</v>
      </c>
      <c r="T38" s="18">
        <f t="shared" si="12"/>
        <v>4.8842880494479116E-2</v>
      </c>
      <c r="U38" s="18">
        <f t="shared" si="12"/>
        <v>4.8840536036215375E-2</v>
      </c>
      <c r="V38" s="18">
        <f t="shared" si="12"/>
        <v>4.883819169048563E-2</v>
      </c>
      <c r="W38" s="18">
        <f t="shared" si="12"/>
        <v>4.883584745728449E-2</v>
      </c>
      <c r="X38" s="18">
        <f t="shared" si="12"/>
        <v>4.791773352508754E-2</v>
      </c>
      <c r="Y38" s="18">
        <f t="shared" si="12"/>
        <v>4.7016880134815892E-2</v>
      </c>
      <c r="Z38" s="18">
        <f t="shared" si="12"/>
        <v>4.6132962788281356E-2</v>
      </c>
    </row>
    <row r="39" spans="1:26" x14ac:dyDescent="0.75">
      <c r="A39" s="8" t="s">
        <v>81</v>
      </c>
      <c r="B39" s="18">
        <v>0</v>
      </c>
      <c r="C39" s="18">
        <f t="shared" ref="C39:Z39" si="13">C36-C38</f>
        <v>2.3999999999999994E-3</v>
      </c>
      <c r="D39" s="18">
        <f t="shared" si="13"/>
        <v>2.3998848000000017E-3</v>
      </c>
      <c r="E39" s="18">
        <f t="shared" si="13"/>
        <v>2.6997408062208045E-3</v>
      </c>
      <c r="F39" s="18">
        <f t="shared" si="13"/>
        <v>2.6995950202172644E-3</v>
      </c>
      <c r="G39" s="18">
        <f t="shared" si="13"/>
        <v>2.999388046762419E-3</v>
      </c>
      <c r="H39" s="18">
        <f t="shared" si="13"/>
        <v>2.9992080834796084E-3</v>
      </c>
      <c r="I39" s="18">
        <f t="shared" si="13"/>
        <v>2.6991253178951444E-3</v>
      </c>
      <c r="J39" s="18">
        <f t="shared" si="13"/>
        <v>3.2389795651279751E-3</v>
      </c>
      <c r="K39" s="18">
        <f t="shared" si="13"/>
        <v>3.2388046602314577E-3</v>
      </c>
      <c r="L39" s="18">
        <f t="shared" si="13"/>
        <v>2.8787820131376055E-3</v>
      </c>
      <c r="M39" s="18">
        <f t="shared" si="13"/>
        <v>2.8786438316009758E-3</v>
      </c>
      <c r="N39" s="18">
        <f t="shared" si="13"/>
        <v>2.8785056566970613E-3</v>
      </c>
      <c r="O39" s="18">
        <f t="shared" si="13"/>
        <v>2.8783674884255359E-3</v>
      </c>
      <c r="P39" s="18">
        <f t="shared" si="13"/>
        <v>3.1182293267860914E-3</v>
      </c>
      <c r="Q39" s="18">
        <f t="shared" si="13"/>
        <v>3.1180796517784048E-3</v>
      </c>
      <c r="R39" s="18">
        <f t="shared" si="13"/>
        <v>3.1179299839551242E-3</v>
      </c>
      <c r="S39" s="18">
        <f t="shared" si="13"/>
        <v>3.1177803233158885E-3</v>
      </c>
      <c r="T39" s="18">
        <f t="shared" si="13"/>
        <v>3.1176306698603717E-3</v>
      </c>
      <c r="U39" s="18">
        <f t="shared" si="13"/>
        <v>3.11748102358822E-3</v>
      </c>
      <c r="V39" s="18">
        <f t="shared" si="13"/>
        <v>3.1173313844990863E-3</v>
      </c>
      <c r="W39" s="18">
        <f t="shared" si="13"/>
        <v>3.1171817525926307E-3</v>
      </c>
      <c r="X39" s="18">
        <f t="shared" si="13"/>
        <v>3.0585787356438854E-3</v>
      </c>
      <c r="Y39" s="18">
        <f t="shared" si="13"/>
        <v>3.0010774554137809E-3</v>
      </c>
      <c r="Z39" s="18">
        <f t="shared" si="13"/>
        <v>2.9446571992520071E-3</v>
      </c>
    </row>
    <row r="40" spans="1:26" x14ac:dyDescent="0.75">
      <c r="A40" s="8" t="s">
        <v>36</v>
      </c>
      <c r="B40" s="24">
        <v>0</v>
      </c>
      <c r="C40" s="50">
        <f t="array" ref="C40">_xlfn.IFS(C$35&lt;=0.1%,100%,C$35&lt;=0.2%,80%,C$35&lt;=0.35%,50%,C$35&gt;0.35%,0%)</f>
        <v>1</v>
      </c>
      <c r="D40" s="50">
        <f t="array" ref="D40">_xlfn.IFS(D$35&lt;=0.1%,100%,D$35&lt;=0.2%,80%,D$35&lt;=0.35%,50%,D$35&gt;0.35%,0%)</f>
        <v>1</v>
      </c>
      <c r="E40" s="50">
        <f t="array" ref="E40">_xlfn.IFS(E$35&lt;=0.1%,100%,E$35&lt;=0.2%,80%,E$35&lt;=0.35%,50%,E$35&gt;0.35%,0%)</f>
        <v>1</v>
      </c>
      <c r="F40" s="50">
        <f t="array" ref="F40">_xlfn.IFS(F$35&lt;=0.1%,100%,F$35&lt;=0.2%,80%,F$35&lt;=0.35%,50%,F$35&gt;0.35%,0%)</f>
        <v>1</v>
      </c>
      <c r="G40" s="50">
        <f t="array" ref="G40">_xlfn.IFS(G$35&lt;=0.1%,100%,G$35&lt;=0.2%,80%,G$35&lt;=0.35%,50%,G$35&gt;0.35%,0%)</f>
        <v>1</v>
      </c>
      <c r="H40" s="50">
        <f t="array" ref="H40">_xlfn.IFS(H$35&lt;=0.1%,100%,H$35&lt;=0.2%,80%,H$35&lt;=0.35%,50%,H$35&gt;0.35%,0%)</f>
        <v>1</v>
      </c>
      <c r="I40" s="50">
        <f t="array" ref="I40">_xlfn.IFS(I$35&lt;=0.1%,100%,I$35&lt;=0.2%,80%,I$35&lt;=0.35%,50%,I$35&gt;0.35%,0%)</f>
        <v>1</v>
      </c>
      <c r="J40" s="50">
        <f t="array" ref="J40">_xlfn.IFS(J$35&lt;=0.1%,100%,J$35&lt;=0.2%,80%,J$35&lt;=0.35%,50%,J$35&gt;0.35%,0%)</f>
        <v>1</v>
      </c>
      <c r="K40" s="50">
        <f t="array" ref="K40">_xlfn.IFS(K$35&lt;=0.1%,100%,K$35&lt;=0.2%,80%,K$35&lt;=0.35%,50%,K$35&gt;0.35%,0%)</f>
        <v>1</v>
      </c>
      <c r="L40" s="50">
        <f t="array" ref="L40">_xlfn.IFS(L$35&lt;=0.1%,100%,L$35&lt;=0.2%,80%,L$35&lt;=0.35%,50%,L$35&gt;0.35%,0%)</f>
        <v>1</v>
      </c>
      <c r="M40" s="50">
        <f t="array" ref="M40">_xlfn.IFS(M$35&lt;=0.1%,100%,M$35&lt;=0.2%,80%,M$35&lt;=0.35%,50%,M$35&gt;0.35%,0%)</f>
        <v>1</v>
      </c>
      <c r="N40" s="50">
        <f t="array" ref="N40">_xlfn.IFS(N$35&lt;=0.1%,100%,N$35&lt;=0.2%,80%,N$35&lt;=0.35%,50%,N$35&gt;0.35%,0%)</f>
        <v>1</v>
      </c>
      <c r="O40" s="50">
        <f t="array" ref="O40">_xlfn.IFS(O$35&lt;=0.1%,100%,O$35&lt;=0.2%,80%,O$35&lt;=0.35%,50%,O$35&gt;0.35%,0%)</f>
        <v>1</v>
      </c>
      <c r="P40" s="50">
        <f t="array" ref="P40">_xlfn.IFS(P$35&lt;=0.1%,100%,P$35&lt;=0.2%,80%,P$35&lt;=0.35%,50%,P$35&gt;0.35%,0%)</f>
        <v>1</v>
      </c>
      <c r="Q40" s="50">
        <f t="array" ref="Q40">_xlfn.IFS(Q$35&lt;=0.1%,100%,Q$35&lt;=0.2%,80%,Q$35&lt;=0.35%,50%,Q$35&gt;0.35%,0%)</f>
        <v>1</v>
      </c>
      <c r="R40" s="50">
        <f t="array" ref="R40">_xlfn.IFS(R$35&lt;=0.1%,100%,R$35&lt;=0.2%,80%,R$35&lt;=0.35%,50%,R$35&gt;0.35%,0%)</f>
        <v>1</v>
      </c>
      <c r="S40" s="50">
        <f t="array" ref="S40">_xlfn.IFS(S$35&lt;=0.1%,100%,S$35&lt;=0.2%,80%,S$35&lt;=0.35%,50%,S$35&gt;0.35%,0%)</f>
        <v>1</v>
      </c>
      <c r="T40" s="50">
        <f t="array" ref="T40">_xlfn.IFS(T$35&lt;=0.1%,100%,T$35&lt;=0.2%,80%,T$35&lt;=0.35%,50%,T$35&gt;0.35%,0%)</f>
        <v>1</v>
      </c>
      <c r="U40" s="50">
        <f t="array" ref="U40">_xlfn.IFS(U$35&lt;=0.1%,100%,U$35&lt;=0.2%,80%,U$35&lt;=0.35%,50%,U$35&gt;0.35%,0%)</f>
        <v>1</v>
      </c>
      <c r="V40" s="50">
        <f t="array" ref="V40">_xlfn.IFS(V$35&lt;=0.1%,100%,V$35&lt;=0.2%,80%,V$35&lt;=0.35%,50%,V$35&gt;0.35%,0%)</f>
        <v>1</v>
      </c>
      <c r="W40" s="50">
        <f>IF(W$28&gt;20,0,_xlfn.IFS(W$35&lt;=0.1%,100%,W$35&lt;=0.2%,80%,W$35&lt;=0.35%,50%,W$35&gt;0.35%,0%))</f>
        <v>0</v>
      </c>
      <c r="X40" s="50">
        <f>IF(X$28&gt;20,0,_xlfn.IFS(X$35&lt;=0.1%,100%,X$35&lt;=0.2%,80%,X$35&lt;=0.35%,50%,X$35&gt;0.35%,0%))</f>
        <v>0</v>
      </c>
      <c r="Y40" s="50">
        <f>IF(Y$28&gt;20,0,_xlfn.IFS(Y$35&lt;=0.1%,100%,Y$35&lt;=0.2%,80%,Y$35&lt;=0.35%,50%,Y$35&gt;0.35%,0%))</f>
        <v>0</v>
      </c>
      <c r="Z40" s="50">
        <f>IF(Z$28&gt;20,0,_xlfn.IFS(Z$35&lt;=0.1%,100%,Z$35&lt;=0.2%,80%,Z$35&lt;=0.35%,50%,Z$35&gt;0.35%,0%))</f>
        <v>0</v>
      </c>
    </row>
    <row r="41" spans="1:26" x14ac:dyDescent="0.75">
      <c r="A41" s="8" t="s">
        <v>82</v>
      </c>
      <c r="B41" s="18">
        <v>0</v>
      </c>
      <c r="C41" s="18">
        <f t="shared" ref="C41:Z41" si="14">(C34+C38)*C40</f>
        <v>0.93759999999999988</v>
      </c>
      <c r="D41" s="18">
        <f t="shared" si="14"/>
        <v>0.93755499519999996</v>
      </c>
      <c r="E41" s="18">
        <f t="shared" si="14"/>
        <v>0.94220954137105939</v>
      </c>
      <c r="F41" s="18">
        <f t="shared" si="14"/>
        <v>0.94215866205582521</v>
      </c>
      <c r="G41" s="18">
        <f t="shared" si="14"/>
        <v>0.94680682676133532</v>
      </c>
      <c r="H41" s="18">
        <f t="shared" si="14"/>
        <v>0.94675001835172956</v>
      </c>
      <c r="I41" s="18">
        <f t="shared" si="14"/>
        <v>0.94199473594540362</v>
      </c>
      <c r="J41" s="18">
        <f t="shared" si="14"/>
        <v>1.1304038682296624</v>
      </c>
      <c r="K41" s="18">
        <f t="shared" si="14"/>
        <v>1.130342826420778</v>
      </c>
      <c r="L41" s="18">
        <f t="shared" si="14"/>
        <v>1.1246441731324235</v>
      </c>
      <c r="M41" s="18">
        <f t="shared" si="14"/>
        <v>1.1245901902121134</v>
      </c>
      <c r="N41" s="18">
        <f t="shared" si="14"/>
        <v>1.1245362098829832</v>
      </c>
      <c r="O41" s="18">
        <f t="shared" si="14"/>
        <v>1.1244822321449088</v>
      </c>
      <c r="P41" s="18">
        <f t="shared" si="14"/>
        <v>1.2181882569977658</v>
      </c>
      <c r="Q41" s="18">
        <f t="shared" si="14"/>
        <v>1.2181297839614296</v>
      </c>
      <c r="R41" s="18">
        <f t="shared" si="14"/>
        <v>1.2180713137317993</v>
      </c>
      <c r="S41" s="18">
        <f t="shared" si="14"/>
        <v>1.2180128463087403</v>
      </c>
      <c r="T41" s="18">
        <f t="shared" si="14"/>
        <v>1.2179543816921174</v>
      </c>
      <c r="U41" s="18">
        <f t="shared" si="14"/>
        <v>1.2178959198817962</v>
      </c>
      <c r="V41" s="18">
        <f t="shared" si="14"/>
        <v>1.2178374608776417</v>
      </c>
      <c r="W41" s="18">
        <f t="shared" si="14"/>
        <v>0</v>
      </c>
      <c r="X41" s="18">
        <f t="shared" si="14"/>
        <v>0</v>
      </c>
      <c r="Y41" s="18">
        <f t="shared" si="14"/>
        <v>0</v>
      </c>
      <c r="Z41" s="18">
        <f t="shared" si="14"/>
        <v>0</v>
      </c>
    </row>
    <row r="42" spans="1:26" x14ac:dyDescent="0.75">
      <c r="A42" s="55" t="s">
        <v>83</v>
      </c>
      <c r="B42" s="56">
        <v>0</v>
      </c>
      <c r="C42" s="56">
        <f>IF(C$5=Assumptions!$B$18,Assumptions!$B$19,0)</f>
        <v>0</v>
      </c>
      <c r="D42" s="56">
        <f>IF(D$5=Assumptions!$B$18,Assumptions!$B$19,0)</f>
        <v>0</v>
      </c>
      <c r="E42" s="56">
        <f>IF(E$5=Assumptions!$B$18,Assumptions!$B$19,0)</f>
        <v>0</v>
      </c>
      <c r="F42" s="56">
        <f>IF(F$5=Assumptions!$B$18,Assumptions!$B$19,0)</f>
        <v>0</v>
      </c>
      <c r="G42" s="56">
        <f>IF(G$5=Assumptions!$B$18,Assumptions!$B$19,0)</f>
        <v>0</v>
      </c>
      <c r="H42" s="56">
        <f>IF(H$5=Assumptions!$B$18,Assumptions!$B$19,0)</f>
        <v>0</v>
      </c>
      <c r="I42" s="56">
        <f>IF(I$5=Assumptions!$B$18,Assumptions!$B$19,0)</f>
        <v>10</v>
      </c>
      <c r="J42" s="56">
        <f>IF(J$5=Assumptions!$B$18,Assumptions!$B$19,0)</f>
        <v>0</v>
      </c>
      <c r="K42" s="56">
        <f>IF(K$5=Assumptions!$B$18,Assumptions!$B$19,0)</f>
        <v>0</v>
      </c>
      <c r="L42" s="56">
        <f>IF(L$5=Assumptions!$B$18,Assumptions!$B$19,0)</f>
        <v>0</v>
      </c>
      <c r="M42" s="56">
        <f>IF(M$5=Assumptions!$B$18,Assumptions!$B$19,0)</f>
        <v>0</v>
      </c>
      <c r="N42" s="56">
        <f>IF(N$5=Assumptions!$B$18,Assumptions!$B$19,0)</f>
        <v>0</v>
      </c>
      <c r="O42" s="56">
        <f>+Assumptions!$G$39</f>
        <v>5</v>
      </c>
      <c r="P42" s="56">
        <f>IF(P$5=Assumptions!$B$18,Assumptions!$B$19,0)</f>
        <v>0</v>
      </c>
      <c r="Q42" s="56">
        <f>IF(Q$5=Assumptions!$B$18,Assumptions!$B$19,0)</f>
        <v>0</v>
      </c>
      <c r="R42" s="56">
        <f>IF(R$5=Assumptions!$B$18,Assumptions!$B$19,0)</f>
        <v>0</v>
      </c>
      <c r="S42" s="56">
        <f>IF(S$5=Assumptions!$B$18,Assumptions!$B$19,0)</f>
        <v>0</v>
      </c>
      <c r="T42" s="56">
        <f>IF(T$5=Assumptions!$B$18,Assumptions!$B$19,0)</f>
        <v>0</v>
      </c>
      <c r="U42" s="56">
        <f>IF(U$5=Assumptions!$B$18,Assumptions!$B$19,0)</f>
        <v>0</v>
      </c>
      <c r="V42" s="56">
        <f>IF(V$5=Assumptions!$B$18,Assumptions!$B$19,0)</f>
        <v>0</v>
      </c>
      <c r="W42" s="56">
        <f>IF(W$5=Assumptions!$B$18,Assumptions!$B$19,0)</f>
        <v>0</v>
      </c>
      <c r="X42" s="56">
        <f>IF(X$5=Assumptions!$B$18,Assumptions!$B$19,0)</f>
        <v>0</v>
      </c>
      <c r="Y42" s="56">
        <f>IF(Y$5=Assumptions!$B$18,Assumptions!$B$19,0)</f>
        <v>0</v>
      </c>
      <c r="Z42" s="56">
        <f>IF(Z$5=Assumptions!$B$18,Assumptions!$B$19,0)</f>
        <v>0</v>
      </c>
    </row>
    <row r="43" spans="1:26" ht="15" customHeight="1" x14ac:dyDescent="0.75">
      <c r="A43" s="8" t="s">
        <v>84</v>
      </c>
      <c r="B43" s="18">
        <v>0</v>
      </c>
      <c r="C43" s="18">
        <f t="shared" ref="C43:Z43" si="15">C41+C42</f>
        <v>0.93759999999999988</v>
      </c>
      <c r="D43" s="18">
        <f t="shared" si="15"/>
        <v>0.93755499519999996</v>
      </c>
      <c r="E43" s="18">
        <f t="shared" si="15"/>
        <v>0.94220954137105939</v>
      </c>
      <c r="F43" s="18">
        <f t="shared" si="15"/>
        <v>0.94215866205582521</v>
      </c>
      <c r="G43" s="18">
        <f t="shared" si="15"/>
        <v>0.94680682676133532</v>
      </c>
      <c r="H43" s="18">
        <f t="shared" si="15"/>
        <v>0.94675001835172956</v>
      </c>
      <c r="I43" s="18">
        <f t="shared" si="15"/>
        <v>10.941994735945404</v>
      </c>
      <c r="J43" s="18">
        <f t="shared" si="15"/>
        <v>1.1304038682296624</v>
      </c>
      <c r="K43" s="18">
        <f t="shared" si="15"/>
        <v>1.130342826420778</v>
      </c>
      <c r="L43" s="18">
        <f t="shared" si="15"/>
        <v>1.1246441731324235</v>
      </c>
      <c r="M43" s="18">
        <f t="shared" si="15"/>
        <v>1.1245901902121134</v>
      </c>
      <c r="N43" s="18">
        <f t="shared" si="15"/>
        <v>1.1245362098829832</v>
      </c>
      <c r="O43" s="18">
        <f t="shared" si="15"/>
        <v>6.1244822321449091</v>
      </c>
      <c r="P43" s="18">
        <f t="shared" si="15"/>
        <v>1.2181882569977658</v>
      </c>
      <c r="Q43" s="18">
        <f t="shared" si="15"/>
        <v>1.2181297839614296</v>
      </c>
      <c r="R43" s="18">
        <f t="shared" si="15"/>
        <v>1.2180713137317993</v>
      </c>
      <c r="S43" s="18">
        <f t="shared" si="15"/>
        <v>1.2180128463087403</v>
      </c>
      <c r="T43" s="18">
        <f t="shared" si="15"/>
        <v>1.2179543816921174</v>
      </c>
      <c r="U43" s="18">
        <f t="shared" si="15"/>
        <v>1.2178959198817962</v>
      </c>
      <c r="V43" s="18">
        <f t="shared" si="15"/>
        <v>1.2178374608776417</v>
      </c>
      <c r="W43" s="18">
        <f t="shared" si="15"/>
        <v>0</v>
      </c>
      <c r="X43" s="18">
        <f t="shared" si="15"/>
        <v>0</v>
      </c>
      <c r="Y43" s="18">
        <f t="shared" si="15"/>
        <v>0</v>
      </c>
      <c r="Z43" s="18">
        <f t="shared" si="15"/>
        <v>0</v>
      </c>
    </row>
    <row r="44" spans="1:26" x14ac:dyDescent="0.75">
      <c r="A44" s="57" t="s">
        <v>85</v>
      </c>
      <c r="B44" s="58">
        <v>0</v>
      </c>
      <c r="C44" s="59">
        <f t="shared" ref="C44:Z44" si="16">C30-C34-C36+C43</f>
        <v>49.997600000000006</v>
      </c>
      <c r="D44" s="59">
        <f t="shared" si="16"/>
        <v>49.995200115200014</v>
      </c>
      <c r="E44" s="59">
        <f t="shared" si="16"/>
        <v>49.992500374393785</v>
      </c>
      <c r="F44" s="59">
        <f t="shared" si="16"/>
        <v>49.989800779373567</v>
      </c>
      <c r="G44" s="59">
        <f t="shared" si="16"/>
        <v>49.9868013913268</v>
      </c>
      <c r="H44" s="59">
        <f t="shared" si="16"/>
        <v>49.98380218324332</v>
      </c>
      <c r="I44" s="59">
        <f t="shared" si="16"/>
        <v>59.981103057925424</v>
      </c>
      <c r="J44" s="59">
        <f t="shared" si="16"/>
        <v>59.977864078360298</v>
      </c>
      <c r="K44" s="59">
        <f t="shared" si="16"/>
        <v>59.97462527370007</v>
      </c>
      <c r="L44" s="59">
        <f t="shared" si="16"/>
        <v>59.971746491686936</v>
      </c>
      <c r="M44" s="59">
        <f t="shared" si="16"/>
        <v>59.968867847855329</v>
      </c>
      <c r="N44" s="59">
        <f t="shared" si="16"/>
        <v>59.965989342198633</v>
      </c>
      <c r="O44" s="59">
        <f t="shared" si="16"/>
        <v>64.963110974710204</v>
      </c>
      <c r="P44" s="59">
        <f t="shared" si="16"/>
        <v>64.959992745383417</v>
      </c>
      <c r="Q44" s="59">
        <f t="shared" si="16"/>
        <v>64.956874665731632</v>
      </c>
      <c r="R44" s="59">
        <f t="shared" si="16"/>
        <v>64.953756735747675</v>
      </c>
      <c r="S44" s="59">
        <f t="shared" si="16"/>
        <v>64.950638955424353</v>
      </c>
      <c r="T44" s="59">
        <f t="shared" si="16"/>
        <v>64.94752132475449</v>
      </c>
      <c r="U44" s="59">
        <f t="shared" si="16"/>
        <v>64.944403843730896</v>
      </c>
      <c r="V44" s="59">
        <f t="shared" si="16"/>
        <v>64.941286512346394</v>
      </c>
      <c r="W44" s="59">
        <f t="shared" si="16"/>
        <v>63.720390325914281</v>
      </c>
      <c r="X44" s="59">
        <f t="shared" si="16"/>
        <v>62.522446987787092</v>
      </c>
      <c r="Y44" s="59">
        <f t="shared" si="16"/>
        <v>61.347024984416699</v>
      </c>
      <c r="Z44" s="59">
        <f t="shared" si="16"/>
        <v>60.193700914709659</v>
      </c>
    </row>
    <row r="45" spans="1:26" ht="15" customHeight="1" x14ac:dyDescent="0.75">
      <c r="A45" s="8" t="s">
        <v>86</v>
      </c>
      <c r="B45" s="24">
        <v>0</v>
      </c>
      <c r="C45" s="24">
        <f>IF(C$28=Assumptions!$G$40,Assumptions!$G$36,0)</f>
        <v>0</v>
      </c>
      <c r="D45" s="24">
        <f>IF(D$28=Assumptions!$G$40,Assumptions!$G$36,0)</f>
        <v>0</v>
      </c>
      <c r="E45" s="24">
        <f>IF(E$28=Assumptions!$G$40,Assumptions!$G$36,0)</f>
        <v>0</v>
      </c>
      <c r="F45" s="24">
        <f>IF(F$28=Assumptions!$G$40,Assumptions!$G$36,0)</f>
        <v>0</v>
      </c>
      <c r="G45" s="24">
        <f>IF(G$28=Assumptions!$G$40,Assumptions!$G$36,0)</f>
        <v>0</v>
      </c>
      <c r="H45" s="24">
        <f>IF(H$28=Assumptions!$G$40,Assumptions!$G$36,0)</f>
        <v>0</v>
      </c>
      <c r="I45" s="24">
        <f>IF(I$28=Assumptions!$G$40,Assumptions!$G$36,0)</f>
        <v>0</v>
      </c>
      <c r="J45" s="24">
        <f>IF(J$28=Assumptions!$G$40,Assumptions!$G$36,0)</f>
        <v>0</v>
      </c>
      <c r="K45" s="24">
        <f>IF(K$28=Assumptions!$G$40,Assumptions!$G$36,0)</f>
        <v>0</v>
      </c>
      <c r="L45" s="24">
        <f>IF(L$28=Assumptions!$G$40,Assumptions!$G$36,0)</f>
        <v>0</v>
      </c>
      <c r="M45" s="24">
        <f>IF(M$28=Assumptions!$G$40,Assumptions!$G$36,0)</f>
        <v>0</v>
      </c>
      <c r="N45" s="24">
        <f>IF(N$28=Assumptions!$G$40,Assumptions!$G$36,0)</f>
        <v>0</v>
      </c>
      <c r="O45" s="24">
        <f>IF(O$28=Assumptions!$G$40,Assumptions!$G$36,0)</f>
        <v>0</v>
      </c>
      <c r="P45" s="24">
        <f>IF(P$28=Assumptions!$G$40,Assumptions!$G$36,0)</f>
        <v>0</v>
      </c>
      <c r="Q45" s="24">
        <f>IF(Q$28=Assumptions!$G$40,Assumptions!$G$36,0)</f>
        <v>0</v>
      </c>
      <c r="R45" s="24">
        <f>IF(R$28=Assumptions!$G$40,Assumptions!$G$36,0)</f>
        <v>0</v>
      </c>
      <c r="S45" s="24">
        <f>IF(S$28=Assumptions!$G$40,Assumptions!$G$36,0)</f>
        <v>0</v>
      </c>
      <c r="T45" s="24">
        <f>IF(T$28=Assumptions!$G$40,Assumptions!$G$36,0)</f>
        <v>0</v>
      </c>
      <c r="U45" s="24">
        <f>IF(U$28=Assumptions!$G$40,Assumptions!$G$36,0)</f>
        <v>0</v>
      </c>
      <c r="V45" s="24">
        <f>IF(V$28=Assumptions!$G$40,Assumptions!$G$36,0)</f>
        <v>0</v>
      </c>
      <c r="W45" s="24">
        <f>IF(W$28=Assumptions!$G$40,Assumptions!$G$36,0)</f>
        <v>0</v>
      </c>
      <c r="X45" s="24">
        <f>IF(X$28=Assumptions!$G$40,Assumptions!$G$36,0)</f>
        <v>0</v>
      </c>
      <c r="Y45" s="24">
        <f>IF(Y$28=Assumptions!$G$40,Assumptions!$G$36,0)</f>
        <v>0</v>
      </c>
      <c r="Z45" s="24">
        <f>IF(Z$28=Assumptions!$G$40,Assumptions!$G$36,0)</f>
        <v>0.99</v>
      </c>
    </row>
    <row r="46" spans="1:26" x14ac:dyDescent="0.75">
      <c r="A46" s="60" t="s">
        <v>87</v>
      </c>
      <c r="B46" s="61">
        <v>0</v>
      </c>
      <c r="C46" s="62">
        <f>IF(C$28=Assumptions!$G$40,C44*C45,0)</f>
        <v>0</v>
      </c>
      <c r="D46" s="62">
        <f>IF(D$28=Assumptions!$G$40,D44*D45,0)</f>
        <v>0</v>
      </c>
      <c r="E46" s="62">
        <f>IF(E$28=Assumptions!$G$40,E44*E45,0)</f>
        <v>0</v>
      </c>
      <c r="F46" s="62">
        <f>IF(F$28=Assumptions!$G$40,F44*F45,0)</f>
        <v>0</v>
      </c>
      <c r="G46" s="62">
        <f>IF(G$28=Assumptions!$G$40,G44*G45,0)</f>
        <v>0</v>
      </c>
      <c r="H46" s="62">
        <f>IF(H$28=Assumptions!$G$40,H44*H45,0)</f>
        <v>0</v>
      </c>
      <c r="I46" s="62">
        <f>IF(I$28=Assumptions!$G$40,I44*I45,0)</f>
        <v>0</v>
      </c>
      <c r="J46" s="62">
        <f>IF(J$28=Assumptions!$G$40,J44*J45,0)</f>
        <v>0</v>
      </c>
      <c r="K46" s="62">
        <f>IF(K$28=Assumptions!$G$40,K44*K45,0)</f>
        <v>0</v>
      </c>
      <c r="L46" s="62">
        <f>IF(L$28=Assumptions!$G$40,L44*L45,0)</f>
        <v>0</v>
      </c>
      <c r="M46" s="62">
        <f>IF(M$28=Assumptions!$G$40,M44*M45,0)</f>
        <v>0</v>
      </c>
      <c r="N46" s="62">
        <f>IF(N$28=Assumptions!$G$40,N44*N45,0)</f>
        <v>0</v>
      </c>
      <c r="O46" s="62">
        <f>IF(O$28=Assumptions!$G$40,O44*O45,0)</f>
        <v>0</v>
      </c>
      <c r="P46" s="62">
        <f>IF(P$28=Assumptions!$G$40,P44*P45,0)</f>
        <v>0</v>
      </c>
      <c r="Q46" s="62">
        <f>IF(Q$28=Assumptions!$G$40,Q44*Q45,0)</f>
        <v>0</v>
      </c>
      <c r="R46" s="62">
        <f>IF(R$28=Assumptions!$G$40,R44*R45,0)</f>
        <v>0</v>
      </c>
      <c r="S46" s="62">
        <f>IF(S$28=Assumptions!$G$40,S44*S45,0)</f>
        <v>0</v>
      </c>
      <c r="T46" s="62">
        <f>IF(T$28=Assumptions!$G$40,T44*T45,0)</f>
        <v>0</v>
      </c>
      <c r="U46" s="62">
        <f>IF(U$28=Assumptions!$G$40,U44*U45,0)</f>
        <v>0</v>
      </c>
      <c r="V46" s="62">
        <f>IF(V$28=Assumptions!$G$40,V44*V45,0)</f>
        <v>0</v>
      </c>
      <c r="W46" s="62">
        <f>IF(W$28=Assumptions!$G$40,W44*W45,0)</f>
        <v>0</v>
      </c>
      <c r="X46" s="62">
        <f>IF(X$28=Assumptions!$G$40,X44*X45,0)</f>
        <v>0</v>
      </c>
      <c r="Y46" s="62">
        <f>IF(Y$28=Assumptions!$G$40,Y44*Y45,0)</f>
        <v>0</v>
      </c>
      <c r="Z46" s="62">
        <f>IF(Z$28=Assumptions!$G$40,Z44*Z45,0)</f>
        <v>59.591763905562559</v>
      </c>
    </row>
    <row r="47" spans="1:26" x14ac:dyDescent="0.75">
      <c r="A47" s="8" t="s">
        <v>88</v>
      </c>
      <c r="B47" s="18">
        <v>0</v>
      </c>
      <c r="C47" s="18">
        <f t="shared" ref="C47:Z47" si="17">(C30+C44)/2</f>
        <v>49.998800000000003</v>
      </c>
      <c r="D47" s="18">
        <f t="shared" si="17"/>
        <v>49.996400057600013</v>
      </c>
      <c r="E47" s="18">
        <f t="shared" si="17"/>
        <v>49.993850244796903</v>
      </c>
      <c r="F47" s="18">
        <f t="shared" si="17"/>
        <v>49.991150576883676</v>
      </c>
      <c r="G47" s="18">
        <f t="shared" si="17"/>
        <v>49.988301085350187</v>
      </c>
      <c r="H47" s="18">
        <f t="shared" si="17"/>
        <v>49.98530178728506</v>
      </c>
      <c r="I47" s="18">
        <f t="shared" si="17"/>
        <v>54.982452620584368</v>
      </c>
      <c r="J47" s="18">
        <f t="shared" si="17"/>
        <v>59.979483568142861</v>
      </c>
      <c r="K47" s="18">
        <f t="shared" si="17"/>
        <v>59.976244676030184</v>
      </c>
      <c r="L47" s="18">
        <f t="shared" si="17"/>
        <v>59.9731858826935</v>
      </c>
      <c r="M47" s="18">
        <f t="shared" si="17"/>
        <v>59.970307169771132</v>
      </c>
      <c r="N47" s="18">
        <f t="shared" si="17"/>
        <v>59.967428595026981</v>
      </c>
      <c r="O47" s="18">
        <f t="shared" si="17"/>
        <v>62.464550158454415</v>
      </c>
      <c r="P47" s="18">
        <f t="shared" si="17"/>
        <v>64.961551860046811</v>
      </c>
      <c r="Q47" s="18">
        <f t="shared" si="17"/>
        <v>64.958433705557525</v>
      </c>
      <c r="R47" s="18">
        <f t="shared" si="17"/>
        <v>64.955315700739646</v>
      </c>
      <c r="S47" s="18">
        <f t="shared" si="17"/>
        <v>64.952197845586014</v>
      </c>
      <c r="T47" s="18">
        <f t="shared" si="17"/>
        <v>64.949080140089421</v>
      </c>
      <c r="U47" s="18">
        <f t="shared" si="17"/>
        <v>64.945962584242693</v>
      </c>
      <c r="V47" s="18">
        <f t="shared" si="17"/>
        <v>64.942845178038652</v>
      </c>
      <c r="W47" s="18">
        <f t="shared" si="17"/>
        <v>64.330838419130345</v>
      </c>
      <c r="X47" s="18">
        <f t="shared" si="17"/>
        <v>63.121418656850686</v>
      </c>
      <c r="Y47" s="18">
        <f t="shared" si="17"/>
        <v>61.934735986101899</v>
      </c>
      <c r="Z47" s="18">
        <f t="shared" si="17"/>
        <v>60.770362949563179</v>
      </c>
    </row>
    <row r="50" spans="1:27" ht="19.5" customHeight="1" x14ac:dyDescent="0.95">
      <c r="A50" s="48" t="s">
        <v>90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 spans="1:27" x14ac:dyDescent="0.75">
      <c r="A51" s="6" t="s">
        <v>73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7" x14ac:dyDescent="0.75">
      <c r="A52" s="51"/>
      <c r="B52" s="51">
        <v>0</v>
      </c>
      <c r="C52" s="51">
        <v>1</v>
      </c>
      <c r="D52" s="51">
        <v>2</v>
      </c>
      <c r="E52" s="51">
        <v>3</v>
      </c>
      <c r="F52" s="51">
        <v>4</v>
      </c>
      <c r="G52" s="51">
        <v>5</v>
      </c>
      <c r="H52" s="51">
        <v>6</v>
      </c>
      <c r="I52" s="51">
        <v>7</v>
      </c>
      <c r="J52" s="51">
        <v>8</v>
      </c>
      <c r="K52" s="51">
        <v>9</v>
      </c>
      <c r="L52" s="51">
        <v>10</v>
      </c>
      <c r="M52" s="51">
        <v>11</v>
      </c>
      <c r="N52" s="51">
        <v>12</v>
      </c>
      <c r="O52" s="51">
        <v>13</v>
      </c>
      <c r="P52" s="51">
        <v>14</v>
      </c>
      <c r="Q52" s="51">
        <v>15</v>
      </c>
      <c r="R52" s="51">
        <v>16</v>
      </c>
      <c r="S52" s="51">
        <v>17</v>
      </c>
      <c r="T52" s="51">
        <v>18</v>
      </c>
      <c r="U52" s="51">
        <v>19</v>
      </c>
      <c r="V52" s="51">
        <v>20</v>
      </c>
      <c r="W52" s="51">
        <v>21</v>
      </c>
      <c r="X52" s="51">
        <v>22</v>
      </c>
    </row>
    <row r="53" spans="1:27" x14ac:dyDescent="0.75">
      <c r="A53" s="52"/>
      <c r="B53" s="52" t="s">
        <v>74</v>
      </c>
      <c r="C53" s="52">
        <v>46053</v>
      </c>
      <c r="D53" s="52">
        <v>46081</v>
      </c>
      <c r="E53" s="52">
        <v>46112</v>
      </c>
      <c r="F53" s="52">
        <v>46142</v>
      </c>
      <c r="G53" s="52">
        <v>46173</v>
      </c>
      <c r="H53" s="52">
        <v>46203</v>
      </c>
      <c r="I53" s="52">
        <v>46234</v>
      </c>
      <c r="J53" s="52">
        <v>46265</v>
      </c>
      <c r="K53" s="52">
        <v>46295</v>
      </c>
      <c r="L53" s="52">
        <v>46326</v>
      </c>
      <c r="M53" s="52">
        <v>46356</v>
      </c>
      <c r="N53" s="52">
        <v>46387</v>
      </c>
      <c r="O53" s="52">
        <v>46418</v>
      </c>
      <c r="P53" s="52">
        <v>46446</v>
      </c>
      <c r="Q53" s="52">
        <v>46477</v>
      </c>
      <c r="R53" s="52">
        <v>46507</v>
      </c>
      <c r="S53" s="52">
        <v>46538</v>
      </c>
      <c r="T53" s="52">
        <v>46568</v>
      </c>
      <c r="U53" s="52">
        <v>46599</v>
      </c>
      <c r="V53" s="52">
        <v>46630</v>
      </c>
      <c r="W53" s="52">
        <v>46660</v>
      </c>
      <c r="X53" s="52">
        <v>46691</v>
      </c>
    </row>
    <row r="54" spans="1:27" x14ac:dyDescent="0.75">
      <c r="A54" s="21" t="s">
        <v>75</v>
      </c>
      <c r="B54" s="53">
        <v>0</v>
      </c>
      <c r="C54" s="54">
        <f>IF(C$52=1,Assumptions!$B$8,B68)</f>
        <v>50</v>
      </c>
      <c r="D54" s="54">
        <f>IF(D$52=1,Assumptions!$B$8,C68)</f>
        <v>49.750399999999999</v>
      </c>
      <c r="E54" s="54">
        <f>IF(E$52=1,Assumptions!$B$8,D68)</f>
        <v>49.141853107199999</v>
      </c>
      <c r="F54" s="54">
        <f>IF(F$52=1,Assumptions!$B$8,E68)</f>
        <v>48.535246072444721</v>
      </c>
      <c r="G54" s="54">
        <f>IF(G$52=1,Assumptions!$B$8,F68)</f>
        <v>47.930691047366345</v>
      </c>
      <c r="H54" s="54">
        <f>IF(H$52=1,Assumptions!$B$8,G68)</f>
        <v>47.328298122283044</v>
      </c>
      <c r="I54" s="54">
        <f>IF(I$52=1,Assumptions!$B$8,H68)</f>
        <v>46.145090669225965</v>
      </c>
      <c r="J54" s="54">
        <f>IF(J$52=1,Assumptions!$B$8,I68)</f>
        <v>44.982234384361476</v>
      </c>
      <c r="K54" s="54">
        <f>IF(K$52=1,Assumptions!$B$8,J68)</f>
        <v>43.844183854437127</v>
      </c>
      <c r="L54" s="54">
        <f>IF(L$52=1,Assumptions!$B$8,K68)</f>
        <v>42.730541584534429</v>
      </c>
      <c r="M54" s="54">
        <f>IF(M$52=1,Assumptions!$B$8,L68)</f>
        <v>41.6409127741288</v>
      </c>
      <c r="N54" s="54">
        <f>IF(N$52=1,Assumptions!$B$8,M68)</f>
        <v>40.574905407111103</v>
      </c>
      <c r="O54" s="54">
        <f>IF(O$52=1,Assumptions!$B$8,N68)</f>
        <v>39.536187828689059</v>
      </c>
      <c r="P54" s="54">
        <f>IF(P$52=1,Assumptions!$B$8,O68)</f>
        <v>38.528015039057486</v>
      </c>
      <c r="Q54" s="54">
        <f>IF(Q$52=1,Assumptions!$B$8,P68)</f>
        <v>37.549403457065424</v>
      </c>
      <c r="R54" s="54">
        <f>IF(R$52=1,Assumptions!$B$8,Q68)</f>
        <v>36.599403549601668</v>
      </c>
      <c r="S54" s="54">
        <f>IF(S$52=1,Assumptions!$B$8,R68)</f>
        <v>35.677098580151707</v>
      </c>
      <c r="T54" s="54">
        <f>IF(T$52=1,Assumptions!$B$8,S68)</f>
        <v>34.781603405789895</v>
      </c>
      <c r="U54" s="54">
        <f>IF(U$52=1,Assumptions!$B$8,T68)</f>
        <v>33.912063320645146</v>
      </c>
      <c r="V54" s="54">
        <f>IF(V$52=1,Assumptions!$B$8,U68)</f>
        <v>33.067652943961079</v>
      </c>
      <c r="W54" s="54">
        <f>IF(W$52=1,Assumptions!$B$8,V68)</f>
        <v>32.247575150950851</v>
      </c>
      <c r="X54" s="54">
        <f>IF(X$52=1,Assumptions!$B$8,W68)</f>
        <v>31.451060044722368</v>
      </c>
    </row>
    <row r="55" spans="1:27" x14ac:dyDescent="0.75">
      <c r="A55" s="8" t="s">
        <v>26</v>
      </c>
      <c r="B55" s="24">
        <v>0</v>
      </c>
      <c r="C55" s="50">
        <f>+Assumptions!$H$27</f>
        <v>0.1075</v>
      </c>
      <c r="D55" s="50">
        <f>+Assumptions!$H$27</f>
        <v>0.1075</v>
      </c>
      <c r="E55" s="50">
        <f>+Assumptions!$H$27</f>
        <v>0.1075</v>
      </c>
      <c r="F55" s="50">
        <f>+Assumptions!$H$27</f>
        <v>0.1075</v>
      </c>
      <c r="G55" s="50">
        <f>+Assumptions!$H$27</f>
        <v>0.1075</v>
      </c>
      <c r="H55" s="50">
        <f>+Assumptions!$H$27</f>
        <v>0.1075</v>
      </c>
      <c r="I55" s="50">
        <f>+Assumptions!$H$27</f>
        <v>0.1075</v>
      </c>
      <c r="J55" s="50">
        <f>+Assumptions!$H$27</f>
        <v>0.1075</v>
      </c>
      <c r="K55" s="50">
        <f>+Assumptions!$H$27</f>
        <v>0.1075</v>
      </c>
      <c r="L55" s="50">
        <f>+Assumptions!$H$27</f>
        <v>0.1075</v>
      </c>
      <c r="M55" s="50">
        <f>+Assumptions!$H$27</f>
        <v>0.1075</v>
      </c>
      <c r="N55" s="50">
        <f>+Assumptions!$H$27</f>
        <v>0.1075</v>
      </c>
      <c r="O55" s="50">
        <f>+Assumptions!$H$27</f>
        <v>0.1075</v>
      </c>
      <c r="P55" s="50">
        <f>+Assumptions!$H$27</f>
        <v>0.1075</v>
      </c>
      <c r="Q55" s="50">
        <f>+Assumptions!$H$27</f>
        <v>0.1075</v>
      </c>
      <c r="R55" s="50">
        <f>+Assumptions!$H$27</f>
        <v>0.1075</v>
      </c>
      <c r="S55" s="50">
        <f>+Assumptions!$H$27</f>
        <v>0.1075</v>
      </c>
      <c r="T55" s="50">
        <f>+Assumptions!$H$27</f>
        <v>0.1075</v>
      </c>
      <c r="U55" s="50">
        <f>+Assumptions!$H$27</f>
        <v>0.1075</v>
      </c>
      <c r="V55" s="50">
        <f>+Assumptions!$H$27</f>
        <v>0.1075</v>
      </c>
      <c r="W55" s="50">
        <f>+Assumptions!$H$27</f>
        <v>0.1075</v>
      </c>
      <c r="X55" s="50">
        <f>+Assumptions!$H$27</f>
        <v>0.1075</v>
      </c>
    </row>
    <row r="56" spans="1:27" x14ac:dyDescent="0.75">
      <c r="A56" s="8" t="s">
        <v>76</v>
      </c>
      <c r="B56" s="18">
        <v>0</v>
      </c>
      <c r="C56" s="18">
        <f t="shared" ref="C56:X56" si="18">C54*C55/12</f>
        <v>0.44791666666666669</v>
      </c>
      <c r="D56" s="18">
        <f t="shared" si="18"/>
        <v>0.44568066666666667</v>
      </c>
      <c r="E56" s="18">
        <f t="shared" si="18"/>
        <v>0.440229100752</v>
      </c>
      <c r="F56" s="18">
        <f t="shared" si="18"/>
        <v>0.43479491273231724</v>
      </c>
      <c r="G56" s="18">
        <f t="shared" si="18"/>
        <v>0.42937910729932355</v>
      </c>
      <c r="H56" s="18">
        <f t="shared" si="18"/>
        <v>0.42398267067878564</v>
      </c>
      <c r="I56" s="18">
        <f t="shared" si="18"/>
        <v>0.41338310391181593</v>
      </c>
      <c r="J56" s="18">
        <f t="shared" si="18"/>
        <v>0.40296584969323823</v>
      </c>
      <c r="K56" s="18">
        <f t="shared" si="18"/>
        <v>0.39277081369599925</v>
      </c>
      <c r="L56" s="18">
        <f t="shared" si="18"/>
        <v>0.38279443502812094</v>
      </c>
      <c r="M56" s="18">
        <f t="shared" si="18"/>
        <v>0.37303317693490384</v>
      </c>
      <c r="N56" s="18">
        <f t="shared" si="18"/>
        <v>0.36348352760537028</v>
      </c>
      <c r="O56" s="18">
        <f t="shared" si="18"/>
        <v>0.35417834929867281</v>
      </c>
      <c r="P56" s="18">
        <f t="shared" si="18"/>
        <v>0.34514680139155662</v>
      </c>
      <c r="Q56" s="18">
        <f t="shared" si="18"/>
        <v>0.33638007263621111</v>
      </c>
      <c r="R56" s="18">
        <f t="shared" si="18"/>
        <v>0.32786965679851493</v>
      </c>
      <c r="S56" s="18">
        <f t="shared" si="18"/>
        <v>0.31960734144719238</v>
      </c>
      <c r="T56" s="18">
        <f t="shared" si="18"/>
        <v>0.31158519717686778</v>
      </c>
      <c r="U56" s="18">
        <f t="shared" si="18"/>
        <v>0.30379556724744611</v>
      </c>
      <c r="V56" s="18">
        <f t="shared" si="18"/>
        <v>0.29623105762298468</v>
      </c>
      <c r="W56" s="18">
        <f t="shared" si="18"/>
        <v>0.28888452739393472</v>
      </c>
      <c r="X56" s="18">
        <f t="shared" si="18"/>
        <v>0.28174907956730455</v>
      </c>
    </row>
    <row r="57" spans="1:27" x14ac:dyDescent="0.75">
      <c r="A57" s="8" t="s">
        <v>27</v>
      </c>
      <c r="B57" s="24">
        <v>0</v>
      </c>
      <c r="C57" s="50">
        <f>+Assumptions!$H$28</f>
        <v>2.1999999999999999E-2</v>
      </c>
      <c r="D57" s="50">
        <f>+Assumptions!$H$28</f>
        <v>2.1999999999999999E-2</v>
      </c>
      <c r="E57" s="50">
        <f>+Assumptions!$H$28</f>
        <v>2.1999999999999999E-2</v>
      </c>
      <c r="F57" s="50">
        <f>+Assumptions!$H$28</f>
        <v>2.1999999999999999E-2</v>
      </c>
      <c r="G57" s="50">
        <f>+Assumptions!$H$28</f>
        <v>2.1999999999999999E-2</v>
      </c>
      <c r="H57" s="50">
        <f>+Assumptions!$H$28</f>
        <v>2.1999999999999999E-2</v>
      </c>
      <c r="I57" s="50">
        <f>+Assumptions!$H$28</f>
        <v>2.1999999999999999E-2</v>
      </c>
      <c r="J57" s="50">
        <f>+Assumptions!$H$28</f>
        <v>2.1999999999999999E-2</v>
      </c>
      <c r="K57" s="50">
        <f>+Assumptions!$H$28</f>
        <v>2.1999999999999999E-2</v>
      </c>
      <c r="L57" s="50">
        <f>+Assumptions!$H$28</f>
        <v>2.1999999999999999E-2</v>
      </c>
      <c r="M57" s="50">
        <f>+Assumptions!$H$28</f>
        <v>2.1999999999999999E-2</v>
      </c>
      <c r="N57" s="50">
        <f>+Assumptions!$H$28</f>
        <v>2.1999999999999999E-2</v>
      </c>
      <c r="O57" s="50">
        <f>+Assumptions!$H$28</f>
        <v>2.1999999999999999E-2</v>
      </c>
      <c r="P57" s="50">
        <f>+Assumptions!$H$28</f>
        <v>2.1999999999999999E-2</v>
      </c>
      <c r="Q57" s="50">
        <f>+Assumptions!$H$28</f>
        <v>2.1999999999999999E-2</v>
      </c>
      <c r="R57" s="50">
        <f>+Assumptions!$H$28</f>
        <v>2.1999999999999999E-2</v>
      </c>
      <c r="S57" s="50">
        <f>+Assumptions!$H$28</f>
        <v>2.1999999999999999E-2</v>
      </c>
      <c r="T57" s="50">
        <f>+Assumptions!$H$28</f>
        <v>2.1999999999999999E-2</v>
      </c>
      <c r="U57" s="50">
        <f>+Assumptions!$H$28</f>
        <v>2.1999999999999999E-2</v>
      </c>
      <c r="V57" s="50">
        <f>+Assumptions!$H$28</f>
        <v>2.1999999999999999E-2</v>
      </c>
      <c r="W57" s="50">
        <f>+Assumptions!$H$28</f>
        <v>2.1999999999999999E-2</v>
      </c>
      <c r="X57" s="50">
        <f>+Assumptions!$H$28</f>
        <v>2.1999999999999999E-2</v>
      </c>
    </row>
    <row r="58" spans="1:27" x14ac:dyDescent="0.75">
      <c r="A58" s="8" t="s">
        <v>77</v>
      </c>
      <c r="B58" s="18">
        <v>0</v>
      </c>
      <c r="C58" s="18">
        <f t="shared" ref="C58:X58" si="19">C54*C57</f>
        <v>1.0999999999999999</v>
      </c>
      <c r="D58" s="18">
        <f t="shared" si="19"/>
        <v>1.0945087999999998</v>
      </c>
      <c r="E58" s="18">
        <f t="shared" si="19"/>
        <v>1.0811207683583999</v>
      </c>
      <c r="F58" s="18">
        <f t="shared" si="19"/>
        <v>1.0677754135937838</v>
      </c>
      <c r="G58" s="18">
        <f t="shared" si="19"/>
        <v>1.0544752030420594</v>
      </c>
      <c r="H58" s="18">
        <f t="shared" si="19"/>
        <v>1.0412225586902268</v>
      </c>
      <c r="I58" s="18">
        <f t="shared" si="19"/>
        <v>1.0151919947229713</v>
      </c>
      <c r="J58" s="18">
        <f t="shared" si="19"/>
        <v>0.98960915645595238</v>
      </c>
      <c r="K58" s="18">
        <f t="shared" si="19"/>
        <v>0.96457204479761671</v>
      </c>
      <c r="L58" s="18">
        <f t="shared" si="19"/>
        <v>0.94007191485975738</v>
      </c>
      <c r="M58" s="18">
        <f t="shared" si="19"/>
        <v>0.91610008103083351</v>
      </c>
      <c r="N58" s="18">
        <f t="shared" si="19"/>
        <v>0.89264791895644424</v>
      </c>
      <c r="O58" s="18">
        <f t="shared" si="19"/>
        <v>0.86979613223115926</v>
      </c>
      <c r="P58" s="18">
        <f t="shared" si="19"/>
        <v>0.84761633085926469</v>
      </c>
      <c r="Q58" s="18">
        <f t="shared" si="19"/>
        <v>0.82608687605543929</v>
      </c>
      <c r="R58" s="18">
        <f t="shared" si="19"/>
        <v>0.80518687809123668</v>
      </c>
      <c r="S58" s="18">
        <f t="shared" si="19"/>
        <v>0.78489616876333757</v>
      </c>
      <c r="T58" s="18">
        <f t="shared" si="19"/>
        <v>0.7651952749273776</v>
      </c>
      <c r="U58" s="18">
        <f t="shared" si="19"/>
        <v>0.74606539305419317</v>
      </c>
      <c r="V58" s="18">
        <f t="shared" si="19"/>
        <v>0.72748836476714374</v>
      </c>
      <c r="W58" s="18">
        <f t="shared" si="19"/>
        <v>0.70944665332091872</v>
      </c>
      <c r="X58" s="18">
        <f t="shared" si="19"/>
        <v>0.69192332098389209</v>
      </c>
    </row>
    <row r="59" spans="1:27" x14ac:dyDescent="0.75">
      <c r="A59" s="8" t="s">
        <v>78</v>
      </c>
      <c r="B59" s="24">
        <v>0</v>
      </c>
      <c r="C59" s="50">
        <f>+'Monthly Data'!AW$5</f>
        <v>2E-3</v>
      </c>
      <c r="D59" s="50">
        <f>+'Monthly Data'!AX$5</f>
        <v>2.2000000000000001E-3</v>
      </c>
      <c r="E59" s="50">
        <f>+'Monthly Data'!AY$5</f>
        <v>2.3999999999999998E-3</v>
      </c>
      <c r="F59" s="50">
        <f>+'Monthly Data'!AZ$5</f>
        <v>2.5999999999999999E-3</v>
      </c>
      <c r="G59" s="50">
        <f>+'Monthly Data'!BA$5</f>
        <v>2.8E-3</v>
      </c>
      <c r="H59" s="50">
        <f>+'Monthly Data'!BB$5</f>
        <v>3.0000000000000001E-3</v>
      </c>
      <c r="I59" s="50">
        <f>+'Monthly Data'!BC$5</f>
        <v>3.2000000000000002E-3</v>
      </c>
      <c r="J59" s="50">
        <f>+'Monthly Data'!BD$5</f>
        <v>3.3E-3</v>
      </c>
      <c r="K59" s="50">
        <f>+'Monthly Data'!BE$5</f>
        <v>3.3999999999999998E-3</v>
      </c>
      <c r="L59" s="50">
        <f>+'Monthly Data'!BF$5</f>
        <v>3.5000000000000001E-3</v>
      </c>
      <c r="M59" s="50">
        <f>+'Monthly Data'!BG$5</f>
        <v>3.5999999999999999E-3</v>
      </c>
      <c r="N59" s="50">
        <f>+'Monthly Data'!BH$5</f>
        <v>3.5999999999999999E-3</v>
      </c>
      <c r="O59" s="50">
        <f>+'Monthly Data'!BI$5</f>
        <v>3.5000000000000001E-3</v>
      </c>
      <c r="P59" s="50">
        <f>+'Monthly Data'!BJ$5</f>
        <v>3.3999999999999998E-3</v>
      </c>
      <c r="Q59" s="50">
        <f>+'Monthly Data'!BK$5</f>
        <v>3.3E-3</v>
      </c>
      <c r="R59" s="50">
        <f>+'Monthly Data'!BL$5</f>
        <v>3.2000000000000002E-3</v>
      </c>
      <c r="S59" s="50">
        <f>+'Monthly Data'!BM$5</f>
        <v>3.0999999999999999E-3</v>
      </c>
      <c r="T59" s="50">
        <f>+'Monthly Data'!BN$5</f>
        <v>3.0000000000000001E-3</v>
      </c>
      <c r="U59" s="50">
        <f>+'Monthly Data'!BO$5</f>
        <v>2.8999999999999998E-3</v>
      </c>
      <c r="V59" s="50">
        <f>+'Monthly Data'!BP$5</f>
        <v>2.8E-3</v>
      </c>
      <c r="W59" s="50">
        <f>+'Monthly Data'!BQ$5</f>
        <v>2.7000000000000001E-3</v>
      </c>
      <c r="X59" s="50">
        <f>+'Monthly Data'!BR$5</f>
        <v>2.5999999999999999E-3</v>
      </c>
      <c r="AA59" s="50"/>
    </row>
    <row r="60" spans="1:27" x14ac:dyDescent="0.75">
      <c r="A60" s="8" t="s">
        <v>79</v>
      </c>
      <c r="B60" s="18">
        <v>0</v>
      </c>
      <c r="C60" s="18">
        <f t="shared" ref="C60:X60" si="20">C54*C59</f>
        <v>0.1</v>
      </c>
      <c r="D60" s="18">
        <f t="shared" si="20"/>
        <v>0.10945088</v>
      </c>
      <c r="E60" s="18">
        <f t="shared" si="20"/>
        <v>0.11794044745727998</v>
      </c>
      <c r="F60" s="18">
        <f t="shared" si="20"/>
        <v>0.12619163978835626</v>
      </c>
      <c r="G60" s="18">
        <f t="shared" si="20"/>
        <v>0.13420593493262575</v>
      </c>
      <c r="H60" s="18">
        <f t="shared" si="20"/>
        <v>0.14198489436684913</v>
      </c>
      <c r="I60" s="18">
        <f t="shared" si="20"/>
        <v>0.1476642901415231</v>
      </c>
      <c r="J60" s="18">
        <f t="shared" si="20"/>
        <v>0.14844137346839287</v>
      </c>
      <c r="K60" s="18">
        <f t="shared" si="20"/>
        <v>0.14907022510508622</v>
      </c>
      <c r="L60" s="18">
        <f t="shared" si="20"/>
        <v>0.14955689554587051</v>
      </c>
      <c r="M60" s="18">
        <f t="shared" si="20"/>
        <v>0.14990728598686368</v>
      </c>
      <c r="N60" s="18">
        <f t="shared" si="20"/>
        <v>0.14606965946559997</v>
      </c>
      <c r="O60" s="18">
        <f t="shared" si="20"/>
        <v>0.13837665740041172</v>
      </c>
      <c r="P60" s="18">
        <f t="shared" si="20"/>
        <v>0.13099525113279545</v>
      </c>
      <c r="Q60" s="18">
        <f t="shared" si="20"/>
        <v>0.1239130314083159</v>
      </c>
      <c r="R60" s="18">
        <f t="shared" si="20"/>
        <v>0.11711809135872535</v>
      </c>
      <c r="S60" s="18">
        <f t="shared" si="20"/>
        <v>0.11059900559847029</v>
      </c>
      <c r="T60" s="18">
        <f t="shared" si="20"/>
        <v>0.10434481021736969</v>
      </c>
      <c r="U60" s="18">
        <f t="shared" si="20"/>
        <v>9.8344983629870916E-2</v>
      </c>
      <c r="V60" s="18">
        <f t="shared" si="20"/>
        <v>9.2589428243091021E-2</v>
      </c>
      <c r="W60" s="18">
        <f t="shared" si="20"/>
        <v>8.7068452907567304E-2</v>
      </c>
      <c r="X60" s="18">
        <f t="shared" si="20"/>
        <v>8.1772756116278156E-2</v>
      </c>
    </row>
    <row r="61" spans="1:27" x14ac:dyDescent="0.75">
      <c r="A61" s="8" t="s">
        <v>31</v>
      </c>
      <c r="B61" s="24">
        <v>0</v>
      </c>
      <c r="C61" s="50">
        <f>+Assumptions!$H$30</f>
        <v>0.88</v>
      </c>
      <c r="D61" s="50">
        <f>+Assumptions!$H$30</f>
        <v>0.88</v>
      </c>
      <c r="E61" s="50">
        <f>+Assumptions!$H$30</f>
        <v>0.88</v>
      </c>
      <c r="F61" s="50">
        <f>+Assumptions!$H$30</f>
        <v>0.88</v>
      </c>
      <c r="G61" s="50">
        <f>+Assumptions!$H$30</f>
        <v>0.88</v>
      </c>
      <c r="H61" s="50">
        <f>+Assumptions!$H$30</f>
        <v>0.88</v>
      </c>
      <c r="I61" s="50">
        <f>+Assumptions!$H$30</f>
        <v>0.88</v>
      </c>
      <c r="J61" s="50">
        <f>+Assumptions!$H$30</f>
        <v>0.88</v>
      </c>
      <c r="K61" s="50">
        <f>+Assumptions!$H$30</f>
        <v>0.88</v>
      </c>
      <c r="L61" s="50">
        <f>+Assumptions!$H$30</f>
        <v>0.88</v>
      </c>
      <c r="M61" s="50">
        <f>+Assumptions!$H$30</f>
        <v>0.88</v>
      </c>
      <c r="N61" s="50">
        <f>+Assumptions!$H$30</f>
        <v>0.88</v>
      </c>
      <c r="O61" s="50">
        <f>+Assumptions!$H$30</f>
        <v>0.88</v>
      </c>
      <c r="P61" s="50">
        <f>+Assumptions!$H$30</f>
        <v>0.88</v>
      </c>
      <c r="Q61" s="50">
        <f>+Assumptions!$H$30</f>
        <v>0.88</v>
      </c>
      <c r="R61" s="50">
        <f>+Assumptions!$H$30</f>
        <v>0.88</v>
      </c>
      <c r="S61" s="50">
        <f>+Assumptions!$H$30</f>
        <v>0.88</v>
      </c>
      <c r="T61" s="50">
        <f>+Assumptions!$H$30</f>
        <v>0.88</v>
      </c>
      <c r="U61" s="50">
        <f>+Assumptions!$H$30</f>
        <v>0.88</v>
      </c>
      <c r="V61" s="50">
        <f>+Assumptions!$H$30</f>
        <v>0.88</v>
      </c>
      <c r="W61" s="50">
        <f>+Assumptions!$H$30</f>
        <v>0.88</v>
      </c>
      <c r="X61" s="50">
        <f>+Assumptions!$H$30</f>
        <v>0.88</v>
      </c>
    </row>
    <row r="62" spans="1:27" x14ac:dyDescent="0.75">
      <c r="A62" s="8" t="s">
        <v>80</v>
      </c>
      <c r="B62" s="18">
        <v>0</v>
      </c>
      <c r="C62" s="18">
        <f t="shared" ref="C62:X62" si="21">C60*C61</f>
        <v>8.8000000000000009E-2</v>
      </c>
      <c r="D62" s="18">
        <f t="shared" si="21"/>
        <v>9.6316774399999999E-2</v>
      </c>
      <c r="E62" s="18">
        <f t="shared" si="21"/>
        <v>0.10378759376240639</v>
      </c>
      <c r="F62" s="18">
        <f t="shared" si="21"/>
        <v>0.11104864301375351</v>
      </c>
      <c r="G62" s="18">
        <f t="shared" si="21"/>
        <v>0.11810122274071067</v>
      </c>
      <c r="H62" s="18">
        <f t="shared" si="21"/>
        <v>0.12494670704282725</v>
      </c>
      <c r="I62" s="18">
        <f t="shared" si="21"/>
        <v>0.12994457532454032</v>
      </c>
      <c r="J62" s="18">
        <f t="shared" si="21"/>
        <v>0.13062840865218572</v>
      </c>
      <c r="K62" s="18">
        <f t="shared" si="21"/>
        <v>0.13118179809247588</v>
      </c>
      <c r="L62" s="18">
        <f t="shared" si="21"/>
        <v>0.13161006808036604</v>
      </c>
      <c r="M62" s="18">
        <f t="shared" si="21"/>
        <v>0.13191841166844004</v>
      </c>
      <c r="N62" s="18">
        <f t="shared" si="21"/>
        <v>0.12854130032972796</v>
      </c>
      <c r="O62" s="18">
        <f t="shared" si="21"/>
        <v>0.12177145851236232</v>
      </c>
      <c r="P62" s="18">
        <f t="shared" si="21"/>
        <v>0.11527582099686</v>
      </c>
      <c r="Q62" s="18">
        <f t="shared" si="21"/>
        <v>0.10904346763931799</v>
      </c>
      <c r="R62" s="18">
        <f t="shared" si="21"/>
        <v>0.10306392039567831</v>
      </c>
      <c r="S62" s="18">
        <f t="shared" si="21"/>
        <v>9.7327124926653852E-2</v>
      </c>
      <c r="T62" s="18">
        <f t="shared" si="21"/>
        <v>9.1823432991285328E-2</v>
      </c>
      <c r="U62" s="18">
        <f t="shared" si="21"/>
        <v>8.6543585594286404E-2</v>
      </c>
      <c r="V62" s="18">
        <f t="shared" si="21"/>
        <v>8.1478696853920105E-2</v>
      </c>
      <c r="W62" s="18">
        <f t="shared" si="21"/>
        <v>7.6620238558659223E-2</v>
      </c>
      <c r="X62" s="18">
        <f t="shared" si="21"/>
        <v>7.196002538232478E-2</v>
      </c>
    </row>
    <row r="63" spans="1:27" x14ac:dyDescent="0.75">
      <c r="A63" s="8" t="s">
        <v>81</v>
      </c>
      <c r="B63" s="18">
        <v>0</v>
      </c>
      <c r="C63" s="18">
        <f t="shared" ref="C63:X63" si="22">C60-C62</f>
        <v>1.1999999999999997E-2</v>
      </c>
      <c r="D63" s="18">
        <f t="shared" si="22"/>
        <v>1.3134105600000001E-2</v>
      </c>
      <c r="E63" s="18">
        <f t="shared" si="22"/>
        <v>1.4152853694873596E-2</v>
      </c>
      <c r="F63" s="18">
        <f t="shared" si="22"/>
        <v>1.5142996774602749E-2</v>
      </c>
      <c r="G63" s="18">
        <f t="shared" si="22"/>
        <v>1.6104712191915088E-2</v>
      </c>
      <c r="H63" s="18">
        <f t="shared" si="22"/>
        <v>1.7038187324021889E-2</v>
      </c>
      <c r="I63" s="18">
        <f t="shared" si="22"/>
        <v>1.7719714816982784E-2</v>
      </c>
      <c r="J63" s="18">
        <f t="shared" si="22"/>
        <v>1.7812964816207144E-2</v>
      </c>
      <c r="K63" s="18">
        <f t="shared" si="22"/>
        <v>1.7888427012610342E-2</v>
      </c>
      <c r="L63" s="18">
        <f t="shared" si="22"/>
        <v>1.7946827465504467E-2</v>
      </c>
      <c r="M63" s="18">
        <f t="shared" si="22"/>
        <v>1.7988874318423637E-2</v>
      </c>
      <c r="N63" s="18">
        <f t="shared" si="22"/>
        <v>1.7528359135872001E-2</v>
      </c>
      <c r="O63" s="18">
        <f t="shared" si="22"/>
        <v>1.6605198888049399E-2</v>
      </c>
      <c r="P63" s="18">
        <f t="shared" si="22"/>
        <v>1.571943013593545E-2</v>
      </c>
      <c r="Q63" s="18">
        <f t="shared" si="22"/>
        <v>1.4869563768997909E-2</v>
      </c>
      <c r="R63" s="18">
        <f t="shared" si="22"/>
        <v>1.4054170963047036E-2</v>
      </c>
      <c r="S63" s="18">
        <f t="shared" si="22"/>
        <v>1.3271880671816436E-2</v>
      </c>
      <c r="T63" s="18">
        <f t="shared" si="22"/>
        <v>1.252137722608436E-2</v>
      </c>
      <c r="U63" s="18">
        <f t="shared" si="22"/>
        <v>1.1801398035584512E-2</v>
      </c>
      <c r="V63" s="18">
        <f t="shared" si="22"/>
        <v>1.1110731389170916E-2</v>
      </c>
      <c r="W63" s="18">
        <f t="shared" si="22"/>
        <v>1.044821434890808E-2</v>
      </c>
      <c r="X63" s="18">
        <f t="shared" si="22"/>
        <v>9.8127307339533759E-3</v>
      </c>
    </row>
    <row r="64" spans="1:27" x14ac:dyDescent="0.75">
      <c r="A64" s="8" t="s">
        <v>36</v>
      </c>
      <c r="B64" s="24">
        <v>0</v>
      </c>
      <c r="C64" s="50">
        <f t="array" ref="C64">_xlfn.IFS(C$59&lt;=0.1%,100%,C$59&lt;=0.2%,80%,C$59&lt;=0.35%,50%,C$59&gt;0.35%,0%)</f>
        <v>0.8</v>
      </c>
      <c r="D64" s="50">
        <f t="array" ref="D64">_xlfn.IFS(D$59&lt;=0.1%,100%,D$59&lt;=0.2%,80%,D$59&lt;=0.35%,50%,D$59&gt;0.35%,0%)</f>
        <v>0.5</v>
      </c>
      <c r="E64" s="50">
        <f t="array" ref="E64">_xlfn.IFS(E$59&lt;=0.1%,100%,E$59&lt;=0.2%,80%,E$59&lt;=0.35%,50%,E$59&gt;0.35%,0%)</f>
        <v>0.5</v>
      </c>
      <c r="F64" s="50">
        <f t="array" ref="F64">_xlfn.IFS(F$59&lt;=0.1%,100%,F$59&lt;=0.2%,80%,F$59&lt;=0.35%,50%,F$59&gt;0.35%,0%)</f>
        <v>0.5</v>
      </c>
      <c r="G64" s="50">
        <f t="array" ref="G64">_xlfn.IFS(G$59&lt;=0.1%,100%,G$59&lt;=0.2%,80%,G$59&lt;=0.35%,50%,G$59&gt;0.35%,0%)</f>
        <v>0.5</v>
      </c>
      <c r="H64" s="50">
        <f>IF(SUM($C$63:G63)/Assumptions!$B$8&gt;Assumptions!$B$51,0,_xlfn.IFS(H$59&lt;=0.1%,100%,H$59&lt;=0.2%,80%,H$59&lt;=0.35%,50%,H$59&gt;0.35%,0%))</f>
        <v>0</v>
      </c>
      <c r="I64" s="50">
        <f>IF(SUM($C$63:H63)/Assumptions!$B$8&gt;Assumptions!$B$51,0,_xlfn.IFS(I$59&lt;=0.1%,100%,I$59&lt;=0.2%,80%,I$59&lt;=0.35%,50%,I$59&gt;0.35%,0%))</f>
        <v>0</v>
      </c>
      <c r="J64" s="50">
        <f>IF(SUM($C$63:I63)/Assumptions!$B$8&gt;Assumptions!$B$51,0,_xlfn.IFS(J$59&lt;=0.1%,100%,J$59&lt;=0.2%,80%,J$59&lt;=0.35%,50%,J$59&gt;0.35%,0%))</f>
        <v>0</v>
      </c>
      <c r="K64" s="50">
        <f>IF(SUM($C$63:J63)/Assumptions!$B$8&gt;Assumptions!$B$51,0,_xlfn.IFS(K$59&lt;=0.1%,100%,K$59&lt;=0.2%,80%,K$59&lt;=0.35%,50%,K$59&gt;0.35%,0%))</f>
        <v>0</v>
      </c>
      <c r="L64" s="50">
        <f>IF(SUM($C$63:K63)/Assumptions!$B$8&gt;Assumptions!$B$51,0,_xlfn.IFS(L$59&lt;=0.1%,100%,L$59&lt;=0.2%,80%,L$59&lt;=0.35%,50%,L$59&gt;0.35%,0%))</f>
        <v>0</v>
      </c>
      <c r="M64" s="50">
        <f>IF(SUM($C$63:L63)/Assumptions!$B$8&gt;Assumptions!$B$51,0,_xlfn.IFS(M$59&lt;=0.1%,100%,M$59&lt;=0.2%,80%,M$59&lt;=0.35%,50%,M$59&gt;0.35%,0%))</f>
        <v>0</v>
      </c>
      <c r="N64" s="50">
        <f>IF(SUM($C$63:M63)/Assumptions!$B$8&gt;Assumptions!$B$51,0,_xlfn.IFS(N$59&lt;=0.1%,100%,N$59&lt;=0.2%,80%,N$59&lt;=0.35%,50%,N$59&gt;0.35%,0%))</f>
        <v>0</v>
      </c>
      <c r="O64" s="50">
        <f>IF(SUM($C$63:N63)/Assumptions!$B$8&gt;Assumptions!$B$51,0,_xlfn.IFS(O$59&lt;=0.1%,100%,O$59&lt;=0.2%,80%,O$59&lt;=0.35%,50%,O$59&gt;0.35%,0%))</f>
        <v>0</v>
      </c>
      <c r="P64" s="50">
        <f>IF(SUM($C$63:O63)/Assumptions!$B$8&gt;Assumptions!$B$51,0,_xlfn.IFS(P$59&lt;=0.1%,100%,P$59&lt;=0.2%,80%,P$59&lt;=0.35%,50%,P$59&gt;0.35%,0%))</f>
        <v>0</v>
      </c>
      <c r="Q64" s="50">
        <f>IF(SUM($C$63:P63)/Assumptions!$B$8&gt;Assumptions!$B$51,0,_xlfn.IFS(Q$59&lt;=0.1%,100%,Q$59&lt;=0.2%,80%,Q$59&lt;=0.35%,50%,Q$59&gt;0.35%,0%))</f>
        <v>0</v>
      </c>
      <c r="R64" s="50">
        <f>IF(SUM($C$63:Q63)/Assumptions!$B$8&gt;Assumptions!$B$51,0,_xlfn.IFS(R$59&lt;=0.1%,100%,R$59&lt;=0.2%,80%,R$59&lt;=0.35%,50%,R$59&gt;0.35%,0%))</f>
        <v>0</v>
      </c>
      <c r="S64" s="50">
        <f>IF(SUM($C$63:R63)/Assumptions!$B$8&gt;Assumptions!$B$51,0,_xlfn.IFS(S$59&lt;=0.1%,100%,S$59&lt;=0.2%,80%,S$59&lt;=0.35%,50%,S$59&gt;0.35%,0%))</f>
        <v>0</v>
      </c>
      <c r="T64" s="50">
        <f>IF(SUM($C$63:S63)/Assumptions!$B$8&gt;Assumptions!$B$51,0,_xlfn.IFS(T$59&lt;=0.1%,100%,T$59&lt;=0.2%,80%,T$59&lt;=0.35%,50%,T$59&gt;0.35%,0%))</f>
        <v>0</v>
      </c>
      <c r="U64" s="50">
        <f>IF(SUM($C$63:T63)/Assumptions!$B$8&gt;Assumptions!$B$51,0,_xlfn.IFS(U$59&lt;=0.1%,100%,U$59&lt;=0.2%,80%,U$59&lt;=0.35%,50%,U$59&gt;0.35%,0%))</f>
        <v>0</v>
      </c>
      <c r="V64" s="50">
        <f>IF(SUM($C$63:U63)/Assumptions!$B$8&gt;Assumptions!$B$51,0,_xlfn.IFS(V$59&lt;=0.1%,100%,V$59&lt;=0.2%,80%,V$59&lt;=0.35%,50%,V$59&gt;0.35%,0%))</f>
        <v>0</v>
      </c>
      <c r="W64" s="50">
        <f>IF(SUM($C$63:V63)/Assumptions!$B$8&gt;Assumptions!$B$51,0,_xlfn.IFS(W$59&lt;=0.1%,100%,W$59&lt;=0.2%,80%,W$59&lt;=0.35%,50%,W$59&gt;0.35%,0%))</f>
        <v>0</v>
      </c>
      <c r="X64" s="50">
        <f>IF(SUM($C$63:W63)/Assumptions!$B$8&gt;Assumptions!$B$51,0,_xlfn.IFS(X$59&lt;=0.1%,100%,X$59&lt;=0.2%,80%,X$59&lt;=0.35%,50%,X$59&gt;0.35%,0%))</f>
        <v>0</v>
      </c>
    </row>
    <row r="65" spans="1:24" x14ac:dyDescent="0.75">
      <c r="A65" s="8" t="s">
        <v>82</v>
      </c>
      <c r="B65" s="18">
        <v>0</v>
      </c>
      <c r="C65" s="18">
        <f t="shared" ref="C65:X65" si="23">(C58+C62)*C64</f>
        <v>0.95040000000000002</v>
      </c>
      <c r="D65" s="18">
        <f t="shared" si="23"/>
        <v>0.5954127871999999</v>
      </c>
      <c r="E65" s="18">
        <f t="shared" si="23"/>
        <v>0.59245418106040315</v>
      </c>
      <c r="F65" s="18">
        <f t="shared" si="23"/>
        <v>0.58941202830376871</v>
      </c>
      <c r="G65" s="18">
        <f t="shared" si="23"/>
        <v>0.58628821289138511</v>
      </c>
      <c r="H65" s="18">
        <f t="shared" si="23"/>
        <v>0</v>
      </c>
      <c r="I65" s="18">
        <f t="shared" si="23"/>
        <v>0</v>
      </c>
      <c r="J65" s="18">
        <f t="shared" si="23"/>
        <v>0</v>
      </c>
      <c r="K65" s="18">
        <f t="shared" si="23"/>
        <v>0</v>
      </c>
      <c r="L65" s="18">
        <f t="shared" si="23"/>
        <v>0</v>
      </c>
      <c r="M65" s="18">
        <f t="shared" si="23"/>
        <v>0</v>
      </c>
      <c r="N65" s="18">
        <f t="shared" si="23"/>
        <v>0</v>
      </c>
      <c r="O65" s="18">
        <f t="shared" si="23"/>
        <v>0</v>
      </c>
      <c r="P65" s="18">
        <f t="shared" si="23"/>
        <v>0</v>
      </c>
      <c r="Q65" s="18">
        <f t="shared" si="23"/>
        <v>0</v>
      </c>
      <c r="R65" s="18">
        <f t="shared" si="23"/>
        <v>0</v>
      </c>
      <c r="S65" s="18">
        <f t="shared" si="23"/>
        <v>0</v>
      </c>
      <c r="T65" s="18">
        <f t="shared" si="23"/>
        <v>0</v>
      </c>
      <c r="U65" s="18">
        <f t="shared" si="23"/>
        <v>0</v>
      </c>
      <c r="V65" s="18">
        <f t="shared" si="23"/>
        <v>0</v>
      </c>
      <c r="W65" s="18">
        <f t="shared" si="23"/>
        <v>0</v>
      </c>
      <c r="X65" s="18">
        <f t="shared" si="23"/>
        <v>0</v>
      </c>
    </row>
    <row r="66" spans="1:24" x14ac:dyDescent="0.75">
      <c r="A66" s="55" t="s">
        <v>83</v>
      </c>
      <c r="B66" s="56">
        <v>0</v>
      </c>
      <c r="C66" s="56">
        <f>IF(C$52=Assumptions!$B$18,Assumptions!$B$19,0)</f>
        <v>0</v>
      </c>
      <c r="D66" s="56">
        <f>IF(D$52=Assumptions!$B$18,Assumptions!$B$19,0)</f>
        <v>0</v>
      </c>
      <c r="E66" s="56">
        <f>IF(E$52=Assumptions!$B$18,Assumptions!$B$19,0)</f>
        <v>0</v>
      </c>
      <c r="F66" s="56">
        <f>IF(F$52=Assumptions!$B$18,Assumptions!$B$19,0)</f>
        <v>0</v>
      </c>
      <c r="G66" s="56">
        <f>IF(G$52=Assumptions!$B$18,Assumptions!$B$19,0)</f>
        <v>0</v>
      </c>
      <c r="H66" s="56">
        <f>IF(H$52=Assumptions!$B$18,Assumptions!$B$19,0)</f>
        <v>0</v>
      </c>
      <c r="I66" s="56">
        <f>IF(AND(Tests!$E$6="Yes",I$52=Assumptions!$B$18),Assumptions!$B$19,0)</f>
        <v>0</v>
      </c>
      <c r="J66" s="56">
        <f>IF(J$52=Assumptions!$B$18,Assumptions!$B$19,0)</f>
        <v>0</v>
      </c>
      <c r="K66" s="56">
        <f>IF(K$52=Assumptions!$B$18,Assumptions!$B$19,0)</f>
        <v>0</v>
      </c>
      <c r="L66" s="56">
        <f>IF(L$52=Assumptions!$B$18,Assumptions!$B$19,0)</f>
        <v>0</v>
      </c>
      <c r="M66" s="56">
        <f>IF(M$52=Assumptions!$B$18,Assumptions!$B$19,0)</f>
        <v>0</v>
      </c>
      <c r="N66" s="56">
        <f>IF(N$52=Assumptions!$B$18,Assumptions!$B$19,0)</f>
        <v>0</v>
      </c>
      <c r="O66" s="56">
        <f>IF(O$52=Assumptions!$B$18,Assumptions!$B$19,0)</f>
        <v>0</v>
      </c>
      <c r="P66" s="56">
        <f>IF(P$52=Assumptions!$B$18,Assumptions!$B$19,0)</f>
        <v>0</v>
      </c>
      <c r="Q66" s="56">
        <f>IF(Q$52=Assumptions!$B$18,Assumptions!$B$19,0)</f>
        <v>0</v>
      </c>
      <c r="R66" s="56">
        <f>IF(R$52=Assumptions!$B$18,Assumptions!$B$19,0)</f>
        <v>0</v>
      </c>
      <c r="S66" s="56">
        <f>IF(S$52=Assumptions!$B$18,Assumptions!$B$19,0)</f>
        <v>0</v>
      </c>
      <c r="T66" s="56">
        <f>IF(T$52=Assumptions!$B$18,Assumptions!$B$19,0)</f>
        <v>0</v>
      </c>
      <c r="U66" s="56">
        <f>IF(U$52=Assumptions!$B$18,Assumptions!$B$19,0)</f>
        <v>0</v>
      </c>
      <c r="V66" s="56">
        <f>IF(V$52=Assumptions!$B$18,Assumptions!$B$19,0)</f>
        <v>0</v>
      </c>
      <c r="W66" s="56">
        <f>IF(W$52=Assumptions!$B$18,Assumptions!$B$19,0)</f>
        <v>0</v>
      </c>
      <c r="X66" s="56">
        <f>IF(X$52=Assumptions!$B$18,Assumptions!$B$19,0)</f>
        <v>0</v>
      </c>
    </row>
    <row r="67" spans="1:24" ht="15" customHeight="1" x14ac:dyDescent="0.75">
      <c r="A67" s="8" t="s">
        <v>84</v>
      </c>
      <c r="B67" s="18">
        <v>0</v>
      </c>
      <c r="C67" s="18">
        <f t="shared" ref="C67:X67" si="24">C65+C66</f>
        <v>0.95040000000000002</v>
      </c>
      <c r="D67" s="18">
        <f t="shared" si="24"/>
        <v>0.5954127871999999</v>
      </c>
      <c r="E67" s="18">
        <f t="shared" si="24"/>
        <v>0.59245418106040315</v>
      </c>
      <c r="F67" s="18">
        <f t="shared" si="24"/>
        <v>0.58941202830376871</v>
      </c>
      <c r="G67" s="18">
        <f t="shared" si="24"/>
        <v>0.58628821289138511</v>
      </c>
      <c r="H67" s="18">
        <f t="shared" si="24"/>
        <v>0</v>
      </c>
      <c r="I67" s="18">
        <f t="shared" si="24"/>
        <v>0</v>
      </c>
      <c r="J67" s="18">
        <f t="shared" si="24"/>
        <v>0</v>
      </c>
      <c r="K67" s="18">
        <f t="shared" si="24"/>
        <v>0</v>
      </c>
      <c r="L67" s="18">
        <f t="shared" si="24"/>
        <v>0</v>
      </c>
      <c r="M67" s="18">
        <f t="shared" si="24"/>
        <v>0</v>
      </c>
      <c r="N67" s="18">
        <f t="shared" si="24"/>
        <v>0</v>
      </c>
      <c r="O67" s="18">
        <f t="shared" si="24"/>
        <v>0</v>
      </c>
      <c r="P67" s="18">
        <f t="shared" si="24"/>
        <v>0</v>
      </c>
      <c r="Q67" s="18">
        <f t="shared" si="24"/>
        <v>0</v>
      </c>
      <c r="R67" s="18">
        <f t="shared" si="24"/>
        <v>0</v>
      </c>
      <c r="S67" s="18">
        <f t="shared" si="24"/>
        <v>0</v>
      </c>
      <c r="T67" s="18">
        <f t="shared" si="24"/>
        <v>0</v>
      </c>
      <c r="U67" s="18">
        <f t="shared" si="24"/>
        <v>0</v>
      </c>
      <c r="V67" s="18">
        <f t="shared" si="24"/>
        <v>0</v>
      </c>
      <c r="W67" s="18">
        <f t="shared" si="24"/>
        <v>0</v>
      </c>
      <c r="X67" s="18">
        <f t="shared" si="24"/>
        <v>0</v>
      </c>
    </row>
    <row r="68" spans="1:24" x14ac:dyDescent="0.75">
      <c r="A68" s="57" t="s">
        <v>85</v>
      </c>
      <c r="B68" s="58">
        <v>0</v>
      </c>
      <c r="C68" s="59">
        <f t="shared" ref="C68:X68" si="25">C54-C58-C60+C67</f>
        <v>49.750399999999999</v>
      </c>
      <c r="D68" s="59">
        <f t="shared" si="25"/>
        <v>49.141853107199999</v>
      </c>
      <c r="E68" s="59">
        <f t="shared" si="25"/>
        <v>48.535246072444721</v>
      </c>
      <c r="F68" s="59">
        <f t="shared" si="25"/>
        <v>47.930691047366345</v>
      </c>
      <c r="G68" s="59">
        <f t="shared" si="25"/>
        <v>47.328298122283044</v>
      </c>
      <c r="H68" s="59">
        <f t="shared" si="25"/>
        <v>46.145090669225965</v>
      </c>
      <c r="I68" s="59">
        <f t="shared" si="25"/>
        <v>44.982234384361476</v>
      </c>
      <c r="J68" s="59">
        <f t="shared" si="25"/>
        <v>43.844183854437127</v>
      </c>
      <c r="K68" s="59">
        <f t="shared" si="25"/>
        <v>42.730541584534429</v>
      </c>
      <c r="L68" s="59">
        <f t="shared" si="25"/>
        <v>41.6409127741288</v>
      </c>
      <c r="M68" s="59">
        <f t="shared" si="25"/>
        <v>40.574905407111103</v>
      </c>
      <c r="N68" s="59">
        <f t="shared" si="25"/>
        <v>39.536187828689059</v>
      </c>
      <c r="O68" s="59">
        <f t="shared" si="25"/>
        <v>38.528015039057486</v>
      </c>
      <c r="P68" s="59">
        <f t="shared" si="25"/>
        <v>37.549403457065424</v>
      </c>
      <c r="Q68" s="59">
        <f t="shared" si="25"/>
        <v>36.599403549601668</v>
      </c>
      <c r="R68" s="59">
        <f t="shared" si="25"/>
        <v>35.677098580151707</v>
      </c>
      <c r="S68" s="59">
        <f t="shared" si="25"/>
        <v>34.781603405789895</v>
      </c>
      <c r="T68" s="59">
        <f t="shared" si="25"/>
        <v>33.912063320645146</v>
      </c>
      <c r="U68" s="59">
        <f t="shared" si="25"/>
        <v>33.067652943961079</v>
      </c>
      <c r="V68" s="59">
        <f t="shared" si="25"/>
        <v>32.247575150950851</v>
      </c>
      <c r="W68" s="59">
        <f t="shared" si="25"/>
        <v>31.451060044722368</v>
      </c>
      <c r="X68" s="59">
        <f t="shared" si="25"/>
        <v>30.677363967622195</v>
      </c>
    </row>
    <row r="69" spans="1:24" ht="15" customHeight="1" x14ac:dyDescent="0.75">
      <c r="A69" s="8" t="s">
        <v>86</v>
      </c>
      <c r="B69" s="24">
        <v>0</v>
      </c>
      <c r="C69" s="24">
        <f>IF(C$28=Assumptions!$G$40,Assumptions!$G$36,0)</f>
        <v>0</v>
      </c>
      <c r="D69" s="24">
        <f>IF(D$52=Assumptions!$H$40,Assumptions!$H$36,0)</f>
        <v>0</v>
      </c>
      <c r="E69" s="24">
        <f>IF(E$52=Assumptions!$H$40,Assumptions!$H$36,0)</f>
        <v>0</v>
      </c>
      <c r="F69" s="24">
        <f>IF(F$52=Assumptions!$H$40,Assumptions!$H$36,0)</f>
        <v>0</v>
      </c>
      <c r="G69" s="24">
        <f>IF(G$52=Assumptions!$H$40,Assumptions!$H$36,0)</f>
        <v>0</v>
      </c>
      <c r="H69" s="24">
        <f>IF(H$52=Assumptions!$H$40,Assumptions!$H$36,0)</f>
        <v>0</v>
      </c>
      <c r="I69" s="24">
        <f>IF(I$52=Assumptions!$H$40,Assumptions!$H$36,0)</f>
        <v>0</v>
      </c>
      <c r="J69" s="24">
        <f>IF(J$52=Assumptions!$H$40,Assumptions!$H$36,0)</f>
        <v>0</v>
      </c>
      <c r="K69" s="24">
        <f>IF(K$52=Assumptions!$H$40,Assumptions!$H$36,0)</f>
        <v>0</v>
      </c>
      <c r="L69" s="24">
        <f>IF(L$52=Assumptions!$H$40,Assumptions!$H$36,0)</f>
        <v>0</v>
      </c>
      <c r="M69" s="24">
        <f>IF(M$52=Assumptions!$H$40,Assumptions!$H$36,0)</f>
        <v>0</v>
      </c>
      <c r="N69" s="24">
        <f>IF(N$52=Assumptions!$H$40,Assumptions!$H$36,0)</f>
        <v>0</v>
      </c>
      <c r="O69" s="24">
        <f>IF(O$52=Assumptions!$H$40,Assumptions!$H$36,0)</f>
        <v>0</v>
      </c>
      <c r="P69" s="24">
        <f>IF(P$52=Assumptions!$H$40,Assumptions!$H$36,0)</f>
        <v>0</v>
      </c>
      <c r="Q69" s="24">
        <f>IF(Q$52=Assumptions!$H$40,Assumptions!$H$36,0)</f>
        <v>0</v>
      </c>
      <c r="R69" s="24">
        <f>IF(R$52=Assumptions!$H$40,Assumptions!$H$36,0)</f>
        <v>0</v>
      </c>
      <c r="S69" s="24">
        <f>IF(S$52=Assumptions!$H$40,Assumptions!$H$36,0)</f>
        <v>0</v>
      </c>
      <c r="T69" s="24">
        <f>IF(T$52=Assumptions!$H$40,Assumptions!$H$36,0)</f>
        <v>0</v>
      </c>
      <c r="U69" s="24">
        <f>IF(U$52=Assumptions!$H$40,Assumptions!$H$36,0)</f>
        <v>0</v>
      </c>
      <c r="V69" s="24">
        <f>IF(V$52=Assumptions!$H$40,Assumptions!$H$36,0)</f>
        <v>0</v>
      </c>
      <c r="W69" s="24">
        <f>IF(W$52=Assumptions!$H$40,Assumptions!$H$36,0)</f>
        <v>0</v>
      </c>
      <c r="X69" s="24">
        <f>IF(X$52=Assumptions!$H$40,Assumptions!$H$36,0)</f>
        <v>0.97499999999999998</v>
      </c>
    </row>
    <row r="70" spans="1:24" x14ac:dyDescent="0.75">
      <c r="A70" s="60" t="s">
        <v>87</v>
      </c>
      <c r="B70" s="61">
        <v>0</v>
      </c>
      <c r="C70" s="62">
        <f>IF(C$28=Assumptions!$G$40,C68*C69,0)</f>
        <v>0</v>
      </c>
      <c r="D70" s="62">
        <f>IF(D$52=Assumptions!$H$40,D68*D69,0)</f>
        <v>0</v>
      </c>
      <c r="E70" s="62">
        <f>IF(E$52=Assumptions!$H$40,E68*E69,0)</f>
        <v>0</v>
      </c>
      <c r="F70" s="62">
        <f>IF(F$52=Assumptions!$H$40,F68*F69,0)</f>
        <v>0</v>
      </c>
      <c r="G70" s="62">
        <f>IF(G$52=Assumptions!$H$40,G68*G69,0)</f>
        <v>0</v>
      </c>
      <c r="H70" s="62">
        <f>IF(H$52=Assumptions!$H$40,H68*H69,0)</f>
        <v>0</v>
      </c>
      <c r="I70" s="62">
        <f>IF(I$52=Assumptions!$H$40,I68*I69,0)</f>
        <v>0</v>
      </c>
      <c r="J70" s="62">
        <f>IF(J$52=Assumptions!$H$40,J68*J69,0)</f>
        <v>0</v>
      </c>
      <c r="K70" s="62">
        <f>IF(K$52=Assumptions!$H$40,K68*K69,0)</f>
        <v>0</v>
      </c>
      <c r="L70" s="62">
        <f>IF(L$52=Assumptions!$H$40,L68*L69,0)</f>
        <v>0</v>
      </c>
      <c r="M70" s="62">
        <f>IF(M$52=Assumptions!$H$40,M68*M69,0)</f>
        <v>0</v>
      </c>
      <c r="N70" s="62">
        <f>IF(N$52=Assumptions!$H$40,N68*N69,0)</f>
        <v>0</v>
      </c>
      <c r="O70" s="62">
        <f>IF(O$52=Assumptions!$H$40,O68*O69,0)</f>
        <v>0</v>
      </c>
      <c r="P70" s="62">
        <f>IF(P$52=Assumptions!$H$40,P68*P69,0)</f>
        <v>0</v>
      </c>
      <c r="Q70" s="62">
        <f>IF(Q$52=Assumptions!$H$40,Q68*Q69,0)</f>
        <v>0</v>
      </c>
      <c r="R70" s="62">
        <f>IF(R$52=Assumptions!$H$40,R68*R69,0)</f>
        <v>0</v>
      </c>
      <c r="S70" s="62">
        <f>IF(S$52=Assumptions!$H$40,S68*S69,0)</f>
        <v>0</v>
      </c>
      <c r="T70" s="62">
        <f>IF(T$52=Assumptions!$H$40,T68*T69,0)</f>
        <v>0</v>
      </c>
      <c r="U70" s="62">
        <f>IF(U$52=Assumptions!$H$40,U68*U69,0)</f>
        <v>0</v>
      </c>
      <c r="V70" s="62">
        <f>IF(V$52=Assumptions!$H$40,V68*V69,0)</f>
        <v>0</v>
      </c>
      <c r="W70" s="62">
        <f>IF(W$52=Assumptions!$H$40,W68*W69,0)</f>
        <v>0</v>
      </c>
      <c r="X70" s="62">
        <f>IF(X$52=Assumptions!$H$40,X68*X69,0)</f>
        <v>29.910429868431638</v>
      </c>
    </row>
    <row r="71" spans="1:24" x14ac:dyDescent="0.75">
      <c r="A71" s="8" t="s">
        <v>88</v>
      </c>
      <c r="B71" s="18">
        <v>0</v>
      </c>
      <c r="C71" s="18">
        <f t="shared" ref="C71:X71" si="26">(C54+C68)/2</f>
        <v>49.8752</v>
      </c>
      <c r="D71" s="18">
        <f t="shared" si="26"/>
        <v>49.446126553599996</v>
      </c>
      <c r="E71" s="18">
        <f t="shared" si="26"/>
        <v>48.838549589822364</v>
      </c>
      <c r="F71" s="18">
        <f t="shared" si="26"/>
        <v>48.23296855990553</v>
      </c>
      <c r="G71" s="18">
        <f t="shared" si="26"/>
        <v>47.629494584824698</v>
      </c>
      <c r="H71" s="18">
        <f t="shared" si="26"/>
        <v>46.736694395754505</v>
      </c>
      <c r="I71" s="18">
        <f t="shared" si="26"/>
        <v>45.563662526793721</v>
      </c>
      <c r="J71" s="18">
        <f t="shared" si="26"/>
        <v>44.413209119399298</v>
      </c>
      <c r="K71" s="18">
        <f t="shared" si="26"/>
        <v>43.287362719485778</v>
      </c>
      <c r="L71" s="18">
        <f t="shared" si="26"/>
        <v>42.185727179331614</v>
      </c>
      <c r="M71" s="18">
        <f t="shared" si="26"/>
        <v>41.107909090619955</v>
      </c>
      <c r="N71" s="18">
        <f t="shared" si="26"/>
        <v>40.055546617900077</v>
      </c>
      <c r="O71" s="18">
        <f t="shared" si="26"/>
        <v>39.032101433873272</v>
      </c>
      <c r="P71" s="18">
        <f t="shared" si="26"/>
        <v>38.038709248061451</v>
      </c>
      <c r="Q71" s="18">
        <f t="shared" si="26"/>
        <v>37.074403503333542</v>
      </c>
      <c r="R71" s="18">
        <f t="shared" si="26"/>
        <v>36.138251064876684</v>
      </c>
      <c r="S71" s="18">
        <f t="shared" si="26"/>
        <v>35.229350992970801</v>
      </c>
      <c r="T71" s="18">
        <f t="shared" si="26"/>
        <v>34.34683336321752</v>
      </c>
      <c r="U71" s="18">
        <f t="shared" si="26"/>
        <v>33.489858132303112</v>
      </c>
      <c r="V71" s="18">
        <f t="shared" si="26"/>
        <v>32.657614047455965</v>
      </c>
      <c r="W71" s="18">
        <f t="shared" si="26"/>
        <v>31.84931759783661</v>
      </c>
      <c r="X71" s="18">
        <f t="shared" si="26"/>
        <v>31.064212006172284</v>
      </c>
    </row>
  </sheetData>
  <mergeCells count="2">
    <mergeCell ref="A1:N1"/>
    <mergeCell ref="O1:AA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L75"/>
  <sheetViews>
    <sheetView showGridLines="0" zoomScaleNormal="100" workbookViewId="0">
      <pane xSplit="2" ySplit="4" topLeftCell="J5" activePane="bottomRight" state="frozen"/>
      <selection pane="topRight" activeCell="J1" sqref="J1"/>
      <selection pane="bottomLeft" activeCell="A5" sqref="A5"/>
      <selection pane="bottomRight" activeCell="J74" sqref="J74"/>
    </sheetView>
  </sheetViews>
  <sheetFormatPr defaultColWidth="8.6796875" defaultRowHeight="14.75" x14ac:dyDescent="0.75"/>
  <cols>
    <col min="1" max="1" width="34" customWidth="1"/>
    <col min="2" max="5" width="12" customWidth="1"/>
    <col min="6" max="6" width="12.1328125" customWidth="1"/>
    <col min="7" max="8" width="12" customWidth="1"/>
    <col min="9" max="9" width="13.1328125" customWidth="1"/>
    <col min="10" max="37" width="12" customWidth="1"/>
    <col min="38" max="38" width="13.1328125" customWidth="1"/>
    <col min="39" max="39" width="12" customWidth="1"/>
  </cols>
  <sheetData>
    <row r="1" spans="1:38" ht="19.5" customHeight="1" x14ac:dyDescent="0.95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0"/>
      <c r="Z1" s="50"/>
      <c r="AA1" s="5"/>
    </row>
    <row r="2" spans="1:38" x14ac:dyDescent="0.75">
      <c r="A2" s="6" t="s">
        <v>91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40"/>
      <c r="Z2" s="40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x14ac:dyDescent="0.75">
      <c r="A3" s="15"/>
      <c r="B3" s="63">
        <f>+Rollforward!B5</f>
        <v>0</v>
      </c>
      <c r="C3" s="63">
        <f>+Rollforward!C5</f>
        <v>1</v>
      </c>
      <c r="D3" s="63">
        <f>+Rollforward!D5</f>
        <v>2</v>
      </c>
      <c r="E3" s="63">
        <f>+Rollforward!E5</f>
        <v>3</v>
      </c>
      <c r="F3" s="63">
        <f>+Rollforward!F5</f>
        <v>4</v>
      </c>
      <c r="G3" s="63">
        <f>+Rollforward!G5</f>
        <v>5</v>
      </c>
      <c r="H3" s="63">
        <f>+Rollforward!H5</f>
        <v>6</v>
      </c>
      <c r="I3" s="63">
        <f>+Rollforward!I5</f>
        <v>7</v>
      </c>
      <c r="J3" s="63">
        <f>+Rollforward!J5</f>
        <v>8</v>
      </c>
      <c r="K3" s="63">
        <f>+Rollforward!K5</f>
        <v>9</v>
      </c>
      <c r="L3" s="63">
        <f>+Rollforward!L5</f>
        <v>10</v>
      </c>
      <c r="M3" s="63">
        <f>+Rollforward!M5</f>
        <v>11</v>
      </c>
      <c r="N3" s="63">
        <f>+Rollforward!N5</f>
        <v>12</v>
      </c>
      <c r="O3" s="63">
        <f>+Rollforward!O5</f>
        <v>13</v>
      </c>
      <c r="P3" s="63">
        <f>+Rollforward!P5</f>
        <v>14</v>
      </c>
      <c r="Q3" s="63">
        <f>+Rollforward!Q5</f>
        <v>15</v>
      </c>
      <c r="R3" s="63">
        <f>+Rollforward!R5</f>
        <v>16</v>
      </c>
      <c r="S3" s="63">
        <f>+Rollforward!S5</f>
        <v>17</v>
      </c>
      <c r="T3" s="63">
        <f>+Rollforward!T5</f>
        <v>18</v>
      </c>
      <c r="U3" s="63">
        <f>+Rollforward!U5</f>
        <v>19</v>
      </c>
      <c r="V3" s="63">
        <f>+Rollforward!V5</f>
        <v>20</v>
      </c>
      <c r="W3" s="63">
        <f>+Rollforward!W5</f>
        <v>21</v>
      </c>
      <c r="X3" s="63">
        <f>+Rollforward!X5</f>
        <v>22</v>
      </c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</row>
    <row r="4" spans="1:38" x14ac:dyDescent="0.75">
      <c r="A4" s="15"/>
      <c r="B4" s="64" t="str">
        <f>+Rollforward!B6</f>
        <v>Close / M0</v>
      </c>
      <c r="C4" s="64">
        <f>+Rollforward!C6</f>
        <v>46053</v>
      </c>
      <c r="D4" s="64">
        <f>+Rollforward!D6</f>
        <v>46081</v>
      </c>
      <c r="E4" s="64">
        <f>+Rollforward!E6</f>
        <v>46112</v>
      </c>
      <c r="F4" s="64">
        <f>+Rollforward!F6</f>
        <v>46142</v>
      </c>
      <c r="G4" s="64">
        <f>+Rollforward!G6</f>
        <v>46173</v>
      </c>
      <c r="H4" s="64">
        <f>+Rollforward!H6</f>
        <v>46203</v>
      </c>
      <c r="I4" s="64">
        <f>+Rollforward!I6</f>
        <v>46234</v>
      </c>
      <c r="J4" s="64">
        <f>+Rollforward!J6</f>
        <v>46265</v>
      </c>
      <c r="K4" s="64">
        <f>+Rollforward!K6</f>
        <v>46295</v>
      </c>
      <c r="L4" s="64">
        <f>+Rollforward!L6</f>
        <v>46326</v>
      </c>
      <c r="M4" s="64">
        <f>+Rollforward!M6</f>
        <v>46356</v>
      </c>
      <c r="N4" s="64">
        <f>+Rollforward!N6</f>
        <v>46387</v>
      </c>
      <c r="O4" s="64">
        <f>+Rollforward!O6</f>
        <v>46418</v>
      </c>
      <c r="P4" s="64">
        <f>+Rollforward!P6</f>
        <v>46446</v>
      </c>
      <c r="Q4" s="64">
        <f>+Rollforward!Q6</f>
        <v>46477</v>
      </c>
      <c r="R4" s="64">
        <f>+Rollforward!R6</f>
        <v>46507</v>
      </c>
      <c r="S4" s="64">
        <f>+Rollforward!S6</f>
        <v>46538</v>
      </c>
      <c r="T4" s="64">
        <f>+Rollforward!T6</f>
        <v>46568</v>
      </c>
      <c r="U4" s="64">
        <f>+Rollforward!U6</f>
        <v>46599</v>
      </c>
      <c r="V4" s="64">
        <f>+Rollforward!V6</f>
        <v>46630</v>
      </c>
      <c r="W4" s="64">
        <f>+Rollforward!W6</f>
        <v>46660</v>
      </c>
      <c r="X4" s="64">
        <f>+Rollforward!X6</f>
        <v>46691</v>
      </c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</row>
    <row r="5" spans="1:38" x14ac:dyDescent="0.75">
      <c r="A5" s="39" t="s">
        <v>92</v>
      </c>
      <c r="B5" s="40">
        <f>+Sources_Uses!$B$7</f>
        <v>1</v>
      </c>
      <c r="C5" s="65">
        <f t="shared" ref="C5:X5" si="0">B22</f>
        <v>1</v>
      </c>
      <c r="D5" s="65">
        <f t="shared" si="0"/>
        <v>1</v>
      </c>
      <c r="E5" s="65">
        <f t="shared" si="0"/>
        <v>1</v>
      </c>
      <c r="F5" s="65">
        <f t="shared" si="0"/>
        <v>1</v>
      </c>
      <c r="G5" s="65">
        <f t="shared" si="0"/>
        <v>1</v>
      </c>
      <c r="H5" s="65">
        <f t="shared" si="0"/>
        <v>1</v>
      </c>
      <c r="I5" s="65">
        <f t="shared" si="0"/>
        <v>1</v>
      </c>
      <c r="J5" s="65">
        <f t="shared" si="0"/>
        <v>1</v>
      </c>
      <c r="K5" s="65">
        <f t="shared" si="0"/>
        <v>1</v>
      </c>
      <c r="L5" s="65">
        <f t="shared" si="0"/>
        <v>1</v>
      </c>
      <c r="M5" s="65">
        <f t="shared" si="0"/>
        <v>1</v>
      </c>
      <c r="N5" s="65">
        <f t="shared" si="0"/>
        <v>1</v>
      </c>
      <c r="O5" s="65">
        <f t="shared" si="0"/>
        <v>1</v>
      </c>
      <c r="P5" s="65">
        <f t="shared" si="0"/>
        <v>1</v>
      </c>
      <c r="Q5" s="65">
        <f t="shared" si="0"/>
        <v>1</v>
      </c>
      <c r="R5" s="65">
        <f t="shared" si="0"/>
        <v>1</v>
      </c>
      <c r="S5" s="65">
        <f t="shared" si="0"/>
        <v>1</v>
      </c>
      <c r="T5" s="65">
        <f t="shared" si="0"/>
        <v>1</v>
      </c>
      <c r="U5" s="65">
        <f t="shared" si="0"/>
        <v>1</v>
      </c>
      <c r="V5" s="65">
        <f t="shared" si="0"/>
        <v>1</v>
      </c>
      <c r="W5" s="65">
        <f t="shared" si="0"/>
        <v>1</v>
      </c>
      <c r="X5" s="65">
        <f t="shared" si="0"/>
        <v>1</v>
      </c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</row>
    <row r="6" spans="1:38" x14ac:dyDescent="0.75">
      <c r="A6" s="39" t="s">
        <v>76</v>
      </c>
      <c r="B6" s="65">
        <v>0</v>
      </c>
      <c r="C6" s="40">
        <f>+Rollforward!C$9</f>
        <v>0.46875</v>
      </c>
      <c r="D6" s="40">
        <f>+Rollforward!D$9</f>
        <v>0.46672650000000004</v>
      </c>
      <c r="E6" s="40">
        <f>+Rollforward!E$9</f>
        <v>0.4646994134652</v>
      </c>
      <c r="F6" s="40">
        <f>+Rollforward!F$9</f>
        <v>0.46266886290812254</v>
      </c>
      <c r="G6" s="40">
        <f>+Rollforward!G$9</f>
        <v>0.46063497058677833</v>
      </c>
      <c r="H6" s="40">
        <f>+Rollforward!H$9</f>
        <v>0.45859785849285534</v>
      </c>
      <c r="I6" s="40">
        <f>+Rollforward!I$9</f>
        <v>0.45655764833999229</v>
      </c>
      <c r="J6" s="40">
        <f>+Rollforward!J$9</f>
        <v>0.54828856779597357</v>
      </c>
      <c r="K6" s="40">
        <f>+Rollforward!K$9</f>
        <v>0.54586381643375259</v>
      </c>
      <c r="L6" s="40">
        <f>+Rollforward!L$9</f>
        <v>0.54346419909670984</v>
      </c>
      <c r="M6" s="40">
        <f>+Rollforward!M$9</f>
        <v>0.54107513047748068</v>
      </c>
      <c r="N6" s="40">
        <f>+Rollforward!N$9</f>
        <v>0.53869656420390177</v>
      </c>
      <c r="O6" s="40">
        <f>+Rollforward!O$9</f>
        <v>0.53631423251836641</v>
      </c>
      <c r="P6" s="40">
        <f>+Rollforward!P$9</f>
        <v>0.52467621367271788</v>
      </c>
      <c r="Q6" s="40">
        <f>+Rollforward!Q$9</f>
        <v>0.51323827221465257</v>
      </c>
      <c r="R6" s="40">
        <f>+Rollforward!R$9</f>
        <v>0.50204967788037314</v>
      </c>
      <c r="S6" s="40">
        <f>+Rollforward!S$9</f>
        <v>0.49115519987036899</v>
      </c>
      <c r="T6" s="40">
        <f>+Rollforward!T$9</f>
        <v>0.48054624755316916</v>
      </c>
      <c r="U6" s="40">
        <f>+Rollforward!U$9</f>
        <v>0.47016644860602069</v>
      </c>
      <c r="V6" s="40">
        <f>+Rollforward!V$9</f>
        <v>0.46005786996099124</v>
      </c>
      <c r="W6" s="40">
        <f>+Rollforward!W$9</f>
        <v>0.45016662575682992</v>
      </c>
      <c r="X6" s="40">
        <f>+Rollforward!X$9</f>
        <v>0.4405330599656338</v>
      </c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</row>
    <row r="7" spans="1:38" x14ac:dyDescent="0.75">
      <c r="A7" s="39" t="s">
        <v>93</v>
      </c>
      <c r="B7" s="65">
        <v>0</v>
      </c>
      <c r="C7" s="40">
        <f>+Rollforward!C$11</f>
        <v>1</v>
      </c>
      <c r="D7" s="40">
        <f>+Rollforward!D$11</f>
        <v>0.99568319999999999</v>
      </c>
      <c r="E7" s="40">
        <f>+Rollforward!E$11</f>
        <v>0.99135874872576002</v>
      </c>
      <c r="F7" s="40">
        <f>+Rollforward!F$11</f>
        <v>0.98702690753732802</v>
      </c>
      <c r="G7" s="40">
        <f>+Rollforward!G$11</f>
        <v>0.98268793725179382</v>
      </c>
      <c r="H7" s="40">
        <f>+Rollforward!H$11</f>
        <v>0.97834209811809136</v>
      </c>
      <c r="I7" s="40">
        <f>+Rollforward!I$11</f>
        <v>0.97398964979198355</v>
      </c>
      <c r="J7" s="40">
        <f>+Rollforward!J$11</f>
        <v>1.1696822779647436</v>
      </c>
      <c r="K7" s="40">
        <f>+Rollforward!K$11</f>
        <v>1.1645094750586722</v>
      </c>
      <c r="L7" s="40">
        <f>+Rollforward!L$11</f>
        <v>1.1593902914063143</v>
      </c>
      <c r="M7" s="40">
        <f>+Rollforward!M$11</f>
        <v>1.1542936116852922</v>
      </c>
      <c r="N7" s="40">
        <f>+Rollforward!N$11</f>
        <v>1.1492193369683237</v>
      </c>
      <c r="O7" s="40">
        <f>+Rollforward!O$11</f>
        <v>1.144137029372515</v>
      </c>
      <c r="P7" s="40">
        <f>+Rollforward!P$11</f>
        <v>1.1193092558351314</v>
      </c>
      <c r="Q7" s="40">
        <f>+Rollforward!Q$11</f>
        <v>1.0949083140579254</v>
      </c>
      <c r="R7" s="40">
        <f>+Rollforward!R$11</f>
        <v>1.0710393128114628</v>
      </c>
      <c r="S7" s="40">
        <f>+Rollforward!S$11</f>
        <v>1.047797759723454</v>
      </c>
      <c r="T7" s="40">
        <f>+Rollforward!T$11</f>
        <v>1.0251653281134274</v>
      </c>
      <c r="U7" s="40">
        <f>+Rollforward!U$11</f>
        <v>1.0030217570261775</v>
      </c>
      <c r="V7" s="40">
        <f>+Rollforward!V$11</f>
        <v>0.9814567892501147</v>
      </c>
      <c r="W7" s="40">
        <f>+Rollforward!W$11</f>
        <v>0.96035546828123719</v>
      </c>
      <c r="X7" s="40">
        <f>+Rollforward!X$11</f>
        <v>0.9398038612600188</v>
      </c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</row>
    <row r="8" spans="1:38" x14ac:dyDescent="0.75">
      <c r="A8" s="39" t="s">
        <v>94</v>
      </c>
      <c r="B8" s="65">
        <v>0</v>
      </c>
      <c r="C8" s="40">
        <f>+Rollforward!C$15</f>
        <v>5.5199999999999999E-2</v>
      </c>
      <c r="D8" s="40">
        <f>+Rollforward!D$15</f>
        <v>5.9541855359999993E-2</v>
      </c>
      <c r="E8" s="40">
        <f>+Rollforward!E$15</f>
        <v>6.3843503417938943E-2</v>
      </c>
      <c r="F8" s="40">
        <f>+Rollforward!F$15</f>
        <v>6.8104856620075635E-2</v>
      </c>
      <c r="G8" s="40">
        <f>+Rollforward!G$15</f>
        <v>7.2325832181732025E-2</v>
      </c>
      <c r="H8" s="40">
        <f>+Rollforward!H$15</f>
        <v>7.6506352072834738E-2</v>
      </c>
      <c r="I8" s="40">
        <f>+Rollforward!I$15</f>
        <v>7.1685638224689985E-2</v>
      </c>
      <c r="J8" s="40">
        <f>+Rollforward!J$15</f>
        <v>8.6088615658205137E-2</v>
      </c>
      <c r="K8" s="40">
        <f>+Rollforward!K$15</f>
        <v>8.035115377904839E-2</v>
      </c>
      <c r="L8" s="40">
        <f>+Rollforward!L$15</f>
        <v>7.9997930107035695E-2</v>
      </c>
      <c r="M8" s="40">
        <f>+Rollforward!M$15</f>
        <v>7.9646259206285167E-2</v>
      </c>
      <c r="N8" s="40">
        <f>+Rollforward!N$15</f>
        <v>8.4582543200868623E-2</v>
      </c>
      <c r="O8" s="40">
        <f>+Rollforward!O$15</f>
        <v>8.9471515696930681E-2</v>
      </c>
      <c r="P8" s="40">
        <f>+Rollforward!P$15</f>
        <v>9.267880638314889E-2</v>
      </c>
      <c r="Q8" s="40">
        <f>+Rollforward!Q$15</f>
        <v>9.0658408403996235E-2</v>
      </c>
      <c r="R8" s="40">
        <f>+Rollforward!R$15</f>
        <v>8.3755274261856374E-2</v>
      </c>
      <c r="S8" s="40">
        <f>+Rollforward!S$15</f>
        <v>7.711791511564621E-2</v>
      </c>
      <c r="T8" s="40">
        <f>+Rollforward!T$15</f>
        <v>7.5452168149148263E-2</v>
      </c>
      <c r="U8" s="40">
        <f>+Rollforward!U$15</f>
        <v>6.9208501234806249E-2</v>
      </c>
      <c r="V8" s="40">
        <f>+Rollforward!V$15</f>
        <v>6.7720518458257911E-2</v>
      </c>
      <c r="W8" s="40">
        <f>+Rollforward!W$15</f>
        <v>6.1846892157311671E-2</v>
      </c>
      <c r="X8" s="40">
        <f>+Rollforward!X$15</f>
        <v>6.0523368665145218E-2</v>
      </c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</row>
    <row r="9" spans="1:38" x14ac:dyDescent="0.75">
      <c r="A9" s="39" t="s">
        <v>95</v>
      </c>
      <c r="B9" s="65">
        <v>0</v>
      </c>
      <c r="C9" s="40">
        <f>+Rollforward!C$19</f>
        <v>0</v>
      </c>
      <c r="D9" s="40">
        <f>+Rollforward!D$19</f>
        <v>0</v>
      </c>
      <c r="E9" s="40">
        <f>+Rollforward!E$19</f>
        <v>0</v>
      </c>
      <c r="F9" s="40">
        <f>+Rollforward!F$19</f>
        <v>0</v>
      </c>
      <c r="G9" s="40">
        <f>+Rollforward!G$19</f>
        <v>0</v>
      </c>
      <c r="H9" s="40">
        <f>+Rollforward!H$19</f>
        <v>0</v>
      </c>
      <c r="I9" s="40">
        <f>+Rollforward!I$19</f>
        <v>10</v>
      </c>
      <c r="J9" s="40">
        <f>+Rollforward!J$19</f>
        <v>0</v>
      </c>
      <c r="K9" s="40">
        <f>+Rollforward!K$19</f>
        <v>0</v>
      </c>
      <c r="L9" s="40">
        <f>+Rollforward!L$19</f>
        <v>0</v>
      </c>
      <c r="M9" s="40">
        <f>+Rollforward!M$19</f>
        <v>0</v>
      </c>
      <c r="N9" s="40">
        <f>+Rollforward!N$19</f>
        <v>0</v>
      </c>
      <c r="O9" s="40">
        <f>+Rollforward!O$19</f>
        <v>0</v>
      </c>
      <c r="P9" s="40">
        <f>+Rollforward!P$19</f>
        <v>0</v>
      </c>
      <c r="Q9" s="40">
        <f>+Rollforward!Q$19</f>
        <v>0</v>
      </c>
      <c r="R9" s="40">
        <f>+Rollforward!R$19</f>
        <v>0</v>
      </c>
      <c r="S9" s="40">
        <f>+Rollforward!S$19</f>
        <v>0</v>
      </c>
      <c r="T9" s="40">
        <f>+Rollforward!T$19</f>
        <v>0</v>
      </c>
      <c r="U9" s="40">
        <f>+Rollforward!U$19</f>
        <v>0</v>
      </c>
      <c r="V9" s="40">
        <f>+Rollforward!V$19</f>
        <v>0</v>
      </c>
      <c r="W9" s="40">
        <f>+Rollforward!W$19</f>
        <v>0</v>
      </c>
      <c r="X9" s="40">
        <f>+Rollforward!X$19</f>
        <v>0</v>
      </c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</row>
    <row r="10" spans="1:38" ht="15" customHeight="1" x14ac:dyDescent="0.75">
      <c r="A10" s="39" t="s">
        <v>87</v>
      </c>
      <c r="B10" s="65">
        <v>0</v>
      </c>
      <c r="C10" s="40">
        <f>+Rollforward!C$23</f>
        <v>0</v>
      </c>
      <c r="D10" s="40">
        <f>+Rollforward!D$23</f>
        <v>0</v>
      </c>
      <c r="E10" s="40">
        <f>+Rollforward!E$23</f>
        <v>0</v>
      </c>
      <c r="F10" s="40">
        <f>+Rollforward!F$23</f>
        <v>0</v>
      </c>
      <c r="G10" s="40">
        <f>+Rollforward!G$23</f>
        <v>0</v>
      </c>
      <c r="H10" s="40">
        <f>+Rollforward!H$23</f>
        <v>0</v>
      </c>
      <c r="I10" s="40">
        <f>+Rollforward!I$23</f>
        <v>0</v>
      </c>
      <c r="J10" s="40">
        <f>+Rollforward!J$23</f>
        <v>0</v>
      </c>
      <c r="K10" s="40">
        <f>+Rollforward!K$23</f>
        <v>0</v>
      </c>
      <c r="L10" s="40">
        <f>+Rollforward!L$23</f>
        <v>0</v>
      </c>
      <c r="M10" s="40">
        <f>+Rollforward!M$23</f>
        <v>0</v>
      </c>
      <c r="N10" s="40">
        <f>+Rollforward!N$23</f>
        <v>0</v>
      </c>
      <c r="O10" s="40">
        <f>+Rollforward!O$23</f>
        <v>0</v>
      </c>
      <c r="P10" s="40">
        <f>+Rollforward!P$23</f>
        <v>0</v>
      </c>
      <c r="Q10" s="40">
        <f>+Rollforward!Q$23</f>
        <v>0</v>
      </c>
      <c r="R10" s="40">
        <f>+Rollforward!R$23</f>
        <v>0</v>
      </c>
      <c r="S10" s="40">
        <f>+Rollforward!S$23</f>
        <v>0</v>
      </c>
      <c r="T10" s="40">
        <f>+Rollforward!T$23</f>
        <v>0</v>
      </c>
      <c r="U10" s="40">
        <f>+Rollforward!U$23</f>
        <v>0</v>
      </c>
      <c r="V10" s="40">
        <f>+Rollforward!V$23</f>
        <v>0</v>
      </c>
      <c r="W10" s="40">
        <f>+Rollforward!W$23</f>
        <v>0</v>
      </c>
      <c r="X10" s="40">
        <f>+Rollforward!X$23</f>
        <v>45.294833887480927</v>
      </c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</row>
    <row r="11" spans="1:38" x14ac:dyDescent="0.75">
      <c r="A11" s="66" t="s">
        <v>96</v>
      </c>
      <c r="B11" s="67">
        <v>0</v>
      </c>
      <c r="C11" s="68">
        <f t="shared" ref="C11:X11" si="1">SUM(C6:C10)</f>
        <v>1.5239499999999999</v>
      </c>
      <c r="D11" s="68">
        <f t="shared" si="1"/>
        <v>1.52195155536</v>
      </c>
      <c r="E11" s="68">
        <f t="shared" si="1"/>
        <v>1.5199016656088991</v>
      </c>
      <c r="F11" s="68">
        <f t="shared" si="1"/>
        <v>1.5178006270655262</v>
      </c>
      <c r="G11" s="68">
        <f t="shared" si="1"/>
        <v>1.515648740020304</v>
      </c>
      <c r="H11" s="68">
        <f t="shared" si="1"/>
        <v>1.5134463086837813</v>
      </c>
      <c r="I11" s="68">
        <f t="shared" si="1"/>
        <v>11.502232936356666</v>
      </c>
      <c r="J11" s="68">
        <f t="shared" si="1"/>
        <v>1.8040594614189223</v>
      </c>
      <c r="K11" s="68">
        <f t="shared" si="1"/>
        <v>1.7907244452714732</v>
      </c>
      <c r="L11" s="68">
        <f t="shared" si="1"/>
        <v>1.78285242061006</v>
      </c>
      <c r="M11" s="68">
        <f t="shared" si="1"/>
        <v>1.775015001369058</v>
      </c>
      <c r="N11" s="68">
        <f t="shared" si="1"/>
        <v>1.7724984443730942</v>
      </c>
      <c r="O11" s="68">
        <f t="shared" si="1"/>
        <v>1.7699227775878121</v>
      </c>
      <c r="P11" s="68">
        <f t="shared" si="1"/>
        <v>1.7366642758909983</v>
      </c>
      <c r="Q11" s="68">
        <f t="shared" si="1"/>
        <v>1.6988049946765744</v>
      </c>
      <c r="R11" s="68">
        <f t="shared" si="1"/>
        <v>1.6568442649536923</v>
      </c>
      <c r="S11" s="68">
        <f t="shared" si="1"/>
        <v>1.6160708747094692</v>
      </c>
      <c r="T11" s="68">
        <f t="shared" si="1"/>
        <v>1.5811637438157449</v>
      </c>
      <c r="U11" s="68">
        <f t="shared" si="1"/>
        <v>1.5423967068670044</v>
      </c>
      <c r="V11" s="68">
        <f t="shared" si="1"/>
        <v>1.5092351776693638</v>
      </c>
      <c r="W11" s="68">
        <f t="shared" si="1"/>
        <v>1.4723689861953788</v>
      </c>
      <c r="X11" s="68">
        <f t="shared" si="1"/>
        <v>46.735694177371727</v>
      </c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</row>
    <row r="12" spans="1:38" x14ac:dyDescent="0.75">
      <c r="A12" s="15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x14ac:dyDescent="0.75">
      <c r="A13" s="39" t="s">
        <v>97</v>
      </c>
      <c r="B13" s="65">
        <v>0</v>
      </c>
      <c r="C13" s="65">
        <f>+Rollforward!C$7*Assumptions!$F$31/12</f>
        <v>4.1666666666666664E-2</v>
      </c>
      <c r="D13" s="65">
        <f>+Rollforward!D$7*Assumptions!$F$31/12</f>
        <v>4.1486799999999997E-2</v>
      </c>
      <c r="E13" s="65">
        <f>+Rollforward!E$7*Assumptions!$F$31/12</f>
        <v>4.1306614530240003E-2</v>
      </c>
      <c r="F13" s="65">
        <f>+Rollforward!F$7*Assumptions!$F$31/12</f>
        <v>4.1126121147388665E-2</v>
      </c>
      <c r="G13" s="65">
        <f>+Rollforward!G$7*Assumptions!$F$31/12</f>
        <v>4.0945330718824745E-2</v>
      </c>
      <c r="H13" s="65">
        <f>+Rollforward!H$7*Assumptions!$F$31/12</f>
        <v>4.0764254088253807E-2</v>
      </c>
      <c r="I13" s="65">
        <f>+Rollforward!I$7*Assumptions!$F$31/12</f>
        <v>4.0582902074665979E-2</v>
      </c>
      <c r="J13" s="65">
        <f>+Rollforward!J$7*Assumptions!$F$31/12</f>
        <v>4.8736761581864317E-2</v>
      </c>
      <c r="K13" s="65">
        <f>+Rollforward!K$7*Assumptions!$F$31/12</f>
        <v>4.8521228127444672E-2</v>
      </c>
      <c r="L13" s="65">
        <f>+Rollforward!L$7*Assumptions!$F$31/12</f>
        <v>4.8307928808596433E-2</v>
      </c>
      <c r="M13" s="65">
        <f>+Rollforward!M$7*Assumptions!$F$31/12</f>
        <v>4.8095567153553842E-2</v>
      </c>
      <c r="N13" s="65">
        <f>+Rollforward!N$7*Assumptions!$F$31/12</f>
        <v>4.7884139040346822E-2</v>
      </c>
      <c r="O13" s="65">
        <f>+Rollforward!O$7*Assumptions!$F$31/12</f>
        <v>4.7672376223854791E-2</v>
      </c>
      <c r="P13" s="65">
        <f>+Rollforward!P$7*Assumptions!$F$31/12</f>
        <v>4.6637885659797144E-2</v>
      </c>
      <c r="Q13" s="65">
        <f>+Rollforward!Q$7*Assumptions!$F$31/12</f>
        <v>4.562117975241356E-2</v>
      </c>
      <c r="R13" s="65">
        <f>+Rollforward!R$7*Assumptions!$F$31/12</f>
        <v>4.462663803381095E-2</v>
      </c>
      <c r="S13" s="65">
        <f>+Rollforward!S$7*Assumptions!$F$31/12</f>
        <v>4.3658239988477253E-2</v>
      </c>
      <c r="T13" s="65">
        <f>+Rollforward!T$7*Assumptions!$F$31/12</f>
        <v>4.271522200472614E-2</v>
      </c>
      <c r="U13" s="65">
        <f>+Rollforward!U$7*Assumptions!$F$31/12</f>
        <v>4.1792573209424061E-2</v>
      </c>
      <c r="V13" s="65">
        <f>+Rollforward!V$7*Assumptions!$F$31/12</f>
        <v>4.0894032885421448E-2</v>
      </c>
      <c r="W13" s="65">
        <f>+Rollforward!W$7*Assumptions!$F$31/12</f>
        <v>4.0014811178384881E-2</v>
      </c>
      <c r="X13" s="65">
        <f>+Rollforward!X$7*Assumptions!$F$31/12</f>
        <v>3.915849421916745E-2</v>
      </c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</row>
    <row r="14" spans="1:38" x14ac:dyDescent="0.75">
      <c r="A14" s="39" t="s">
        <v>98</v>
      </c>
      <c r="B14" s="65">
        <v>0</v>
      </c>
      <c r="C14" s="65">
        <f>+Rollforward!C$7*Assumptions!$F$33/12</f>
        <v>1.4583333333333335E-2</v>
      </c>
      <c r="D14" s="65">
        <f>+Rollforward!D$7*Assumptions!$F$33/12</f>
        <v>1.4520379999999999E-2</v>
      </c>
      <c r="E14" s="65">
        <f>+Rollforward!E$7*Assumptions!$F$33/12</f>
        <v>1.4457315085583998E-2</v>
      </c>
      <c r="F14" s="65">
        <f>+Rollforward!F$7*Assumptions!$F$33/12</f>
        <v>1.4394142401586034E-2</v>
      </c>
      <c r="G14" s="65">
        <f>+Rollforward!G$7*Assumptions!$F$33/12</f>
        <v>1.4330865751588659E-2</v>
      </c>
      <c r="H14" s="65">
        <f>+Rollforward!H$7*Assumptions!$F$33/12</f>
        <v>1.4267488930888833E-2</v>
      </c>
      <c r="I14" s="65">
        <f>+Rollforward!I$7*Assumptions!$F$33/12</f>
        <v>1.4204015726133093E-2</v>
      </c>
      <c r="J14" s="65">
        <f>+Rollforward!J$7*Assumptions!$F$33/12</f>
        <v>1.7057866553652511E-2</v>
      </c>
      <c r="K14" s="65">
        <f>+Rollforward!K$7*Assumptions!$F$33/12</f>
        <v>1.6982429844605636E-2</v>
      </c>
      <c r="L14" s="65">
        <f>+Rollforward!L$7*Assumptions!$F$33/12</f>
        <v>1.6907775083008749E-2</v>
      </c>
      <c r="M14" s="65">
        <f>+Rollforward!M$7*Assumptions!$F$33/12</f>
        <v>1.6833448503743843E-2</v>
      </c>
      <c r="N14" s="65">
        <f>+Rollforward!N$7*Assumptions!$F$33/12</f>
        <v>1.675944866412139E-2</v>
      </c>
      <c r="O14" s="65">
        <f>+Rollforward!O$7*Assumptions!$F$33/12</f>
        <v>1.6685331678349177E-2</v>
      </c>
      <c r="P14" s="65">
        <f>+Rollforward!P$7*Assumptions!$F$33/12</f>
        <v>1.6323259980929001E-2</v>
      </c>
      <c r="Q14" s="65">
        <f>+Rollforward!Q$7*Assumptions!$F$33/12</f>
        <v>1.5967412913344747E-2</v>
      </c>
      <c r="R14" s="65">
        <f>+Rollforward!R$7*Assumptions!$F$33/12</f>
        <v>1.5619323311833832E-2</v>
      </c>
      <c r="S14" s="65">
        <f>+Rollforward!S$7*Assumptions!$F$33/12</f>
        <v>1.5280383995967038E-2</v>
      </c>
      <c r="T14" s="65">
        <f>+Rollforward!T$7*Assumptions!$F$33/12</f>
        <v>1.4950327701654151E-2</v>
      </c>
      <c r="U14" s="65">
        <f>+Rollforward!U$7*Assumptions!$F$33/12</f>
        <v>1.462740062329842E-2</v>
      </c>
      <c r="V14" s="65">
        <f>+Rollforward!V$7*Assumptions!$F$33/12</f>
        <v>1.4312911509897506E-2</v>
      </c>
      <c r="W14" s="65">
        <f>+Rollforward!W$7*Assumptions!$F$33/12</f>
        <v>1.4005183912434709E-2</v>
      </c>
      <c r="X14" s="65">
        <f>+Rollforward!X$7*Assumptions!$F$33/12</f>
        <v>1.3705472976708606E-2</v>
      </c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</row>
    <row r="15" spans="1:38" x14ac:dyDescent="0.75">
      <c r="A15" s="39" t="s">
        <v>99</v>
      </c>
      <c r="B15" s="65">
        <v>0</v>
      </c>
      <c r="C15" s="40">
        <f>+Assumptions!$F$34</f>
        <v>0.02</v>
      </c>
      <c r="D15" s="40">
        <f>+Assumptions!$F$34</f>
        <v>0.02</v>
      </c>
      <c r="E15" s="40">
        <f>+Assumptions!$F$34</f>
        <v>0.02</v>
      </c>
      <c r="F15" s="40">
        <f>+Assumptions!$F$34</f>
        <v>0.02</v>
      </c>
      <c r="G15" s="40">
        <f>+Assumptions!$F$34</f>
        <v>0.02</v>
      </c>
      <c r="H15" s="40">
        <f>+Assumptions!$F$34</f>
        <v>0.02</v>
      </c>
      <c r="I15" s="40">
        <f>+Assumptions!$F$34</f>
        <v>0.02</v>
      </c>
      <c r="J15" s="40">
        <f>+Assumptions!$F$34</f>
        <v>0.02</v>
      </c>
      <c r="K15" s="40">
        <f>+Assumptions!$F$34</f>
        <v>0.02</v>
      </c>
      <c r="L15" s="40">
        <f>+Assumptions!$F$34</f>
        <v>0.02</v>
      </c>
      <c r="M15" s="40">
        <f>+Assumptions!$F$34</f>
        <v>0.02</v>
      </c>
      <c r="N15" s="40">
        <f>+Assumptions!$F$34</f>
        <v>0.02</v>
      </c>
      <c r="O15" s="40">
        <f>+Assumptions!$F$34</f>
        <v>0.02</v>
      </c>
      <c r="P15" s="40">
        <f>+Assumptions!$F$34</f>
        <v>0.02</v>
      </c>
      <c r="Q15" s="40">
        <f>+Assumptions!$F$34</f>
        <v>0.02</v>
      </c>
      <c r="R15" s="40">
        <f>+Assumptions!$F$34</f>
        <v>0.02</v>
      </c>
      <c r="S15" s="40">
        <f>+Assumptions!$F$34</f>
        <v>0.02</v>
      </c>
      <c r="T15" s="40">
        <f>+Assumptions!$F$34</f>
        <v>0.02</v>
      </c>
      <c r="U15" s="40">
        <f>+Assumptions!$F$34</f>
        <v>0.02</v>
      </c>
      <c r="V15" s="40">
        <f>+Assumptions!$F$34</f>
        <v>0.02</v>
      </c>
      <c r="W15" s="40">
        <f>+Assumptions!$F$34</f>
        <v>0.02</v>
      </c>
      <c r="X15" s="40">
        <f>+Assumptions!$F$34</f>
        <v>0.02</v>
      </c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</row>
    <row r="16" spans="1:38" ht="15" customHeight="1" x14ac:dyDescent="0.75">
      <c r="A16" s="8" t="s">
        <v>100</v>
      </c>
      <c r="B16" s="65">
        <v>0</v>
      </c>
      <c r="C16" s="40">
        <f>+Rollforward!C$20</f>
        <v>0.84416000000000002</v>
      </c>
      <c r="D16" s="40">
        <f>+Rollforward!D$20</f>
        <v>0.84418004428800009</v>
      </c>
      <c r="E16" s="40">
        <f>+Rollforward!E$20</f>
        <v>0.84416180171495925</v>
      </c>
      <c r="F16" s="40">
        <f>+Rollforward!F$20</f>
        <v>0.84410541132592298</v>
      </c>
      <c r="G16" s="40">
        <f>+Rollforward!G$20</f>
        <v>0.84401101554682068</v>
      </c>
      <c r="H16" s="40">
        <f>+Rollforward!H$20</f>
        <v>0.84387876015274088</v>
      </c>
      <c r="I16" s="40">
        <f>+Rollforward!I$20</f>
        <v>10.836540230413339</v>
      </c>
      <c r="J16" s="40">
        <f>+Rollforward!J$20</f>
        <v>1.0046167148983589</v>
      </c>
      <c r="K16" s="40">
        <f>+Rollforward!K$20</f>
        <v>0.99588850307017651</v>
      </c>
      <c r="L16" s="40">
        <f>+Rollforward!L$20</f>
        <v>0.99151057721068003</v>
      </c>
      <c r="M16" s="40">
        <f>+Rollforward!M$20</f>
        <v>0.98715189671326198</v>
      </c>
      <c r="N16" s="40">
        <f>+Rollforward!N$20</f>
        <v>0.98704150413535396</v>
      </c>
      <c r="O16" s="40">
        <f>+Rollforward!O$20</f>
        <v>0</v>
      </c>
      <c r="P16" s="40">
        <f>+Rollforward!P$20</f>
        <v>0</v>
      </c>
      <c r="Q16" s="40">
        <f>+Rollforward!Q$20</f>
        <v>0</v>
      </c>
      <c r="R16" s="40">
        <f>+Rollforward!R$20</f>
        <v>0</v>
      </c>
      <c r="S16" s="40">
        <f>+Rollforward!S$20</f>
        <v>0</v>
      </c>
      <c r="T16" s="40">
        <f>+Rollforward!T$20</f>
        <v>0</v>
      </c>
      <c r="U16" s="40">
        <f>+Rollforward!U$20</f>
        <v>0</v>
      </c>
      <c r="V16" s="40">
        <f>+Rollforward!V$20</f>
        <v>0</v>
      </c>
      <c r="W16" s="40">
        <f>+Rollforward!W$20</f>
        <v>0</v>
      </c>
      <c r="X16" s="40">
        <f>+Rollforward!X$20</f>
        <v>0</v>
      </c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</row>
    <row r="17" spans="1:38" x14ac:dyDescent="0.75">
      <c r="A17" s="66" t="s">
        <v>101</v>
      </c>
      <c r="B17" s="67">
        <v>0</v>
      </c>
      <c r="C17" s="68">
        <f t="shared" ref="C17:X17" si="2">SUM(C13:C16)</f>
        <v>0.92041000000000006</v>
      </c>
      <c r="D17" s="68">
        <f t="shared" si="2"/>
        <v>0.92018722428800004</v>
      </c>
      <c r="E17" s="68">
        <f t="shared" si="2"/>
        <v>0.91992573133078326</v>
      </c>
      <c r="F17" s="68">
        <f t="shared" si="2"/>
        <v>0.91962567487489766</v>
      </c>
      <c r="G17" s="68">
        <f t="shared" si="2"/>
        <v>0.91928721201723407</v>
      </c>
      <c r="H17" s="68">
        <f t="shared" si="2"/>
        <v>0.9189105031718835</v>
      </c>
      <c r="I17" s="68">
        <f t="shared" si="2"/>
        <v>10.911327148214138</v>
      </c>
      <c r="J17" s="68">
        <f t="shared" si="2"/>
        <v>1.0904113430338758</v>
      </c>
      <c r="K17" s="68">
        <f t="shared" si="2"/>
        <v>1.0813921610422268</v>
      </c>
      <c r="L17" s="68">
        <f t="shared" si="2"/>
        <v>1.0767262811022853</v>
      </c>
      <c r="M17" s="68">
        <f t="shared" si="2"/>
        <v>1.0720809123705597</v>
      </c>
      <c r="N17" s="68">
        <f t="shared" si="2"/>
        <v>1.0716850918398222</v>
      </c>
      <c r="O17" s="68">
        <f t="shared" si="2"/>
        <v>8.4357707902203968E-2</v>
      </c>
      <c r="P17" s="68">
        <f t="shared" si="2"/>
        <v>8.2961145640726153E-2</v>
      </c>
      <c r="Q17" s="68">
        <f t="shared" si="2"/>
        <v>8.1588592665758311E-2</v>
      </c>
      <c r="R17" s="68">
        <f t="shared" si="2"/>
        <v>8.0245961345644781E-2</v>
      </c>
      <c r="S17" s="68">
        <f t="shared" si="2"/>
        <v>7.8938623984444289E-2</v>
      </c>
      <c r="T17" s="68">
        <f t="shared" si="2"/>
        <v>7.7665549706380288E-2</v>
      </c>
      <c r="U17" s="68">
        <f t="shared" si="2"/>
        <v>7.6419973832722476E-2</v>
      </c>
      <c r="V17" s="68">
        <f t="shared" si="2"/>
        <v>7.5206944395318956E-2</v>
      </c>
      <c r="W17" s="68">
        <f t="shared" si="2"/>
        <v>7.4019995090819593E-2</v>
      </c>
      <c r="X17" s="68">
        <f t="shared" si="2"/>
        <v>7.2863967195876053E-2</v>
      </c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</row>
    <row r="18" spans="1:38" ht="15" customHeight="1" x14ac:dyDescent="0.75">
      <c r="A18" s="15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x14ac:dyDescent="0.75">
      <c r="A19" s="66" t="s">
        <v>102</v>
      </c>
      <c r="B19" s="68">
        <f t="shared" ref="B19:X19" si="3">B5+B11-B17</f>
        <v>1</v>
      </c>
      <c r="C19" s="68">
        <f t="shared" si="3"/>
        <v>1.6035400000000002</v>
      </c>
      <c r="D19" s="68">
        <f t="shared" si="3"/>
        <v>1.6017643310720002</v>
      </c>
      <c r="E19" s="68">
        <f t="shared" si="3"/>
        <v>1.5999759342781159</v>
      </c>
      <c r="F19" s="68">
        <f t="shared" si="3"/>
        <v>1.5981749521906283</v>
      </c>
      <c r="G19" s="68">
        <f t="shared" si="3"/>
        <v>1.5963615280030701</v>
      </c>
      <c r="H19" s="68">
        <f t="shared" si="3"/>
        <v>1.5945358055118977</v>
      </c>
      <c r="I19" s="68">
        <f t="shared" si="3"/>
        <v>1.5909057881425284</v>
      </c>
      <c r="J19" s="68">
        <f t="shared" si="3"/>
        <v>1.7136481183850465</v>
      </c>
      <c r="K19" s="68">
        <f t="shared" si="3"/>
        <v>1.7093322842292462</v>
      </c>
      <c r="L19" s="68">
        <f t="shared" si="3"/>
        <v>1.7061261395077745</v>
      </c>
      <c r="M19" s="68">
        <f t="shared" si="3"/>
        <v>1.7029340889984983</v>
      </c>
      <c r="N19" s="68">
        <f t="shared" si="3"/>
        <v>1.7008133525332723</v>
      </c>
      <c r="O19" s="68">
        <f t="shared" si="3"/>
        <v>2.6855650696856084</v>
      </c>
      <c r="P19" s="68">
        <f t="shared" si="3"/>
        <v>2.653703130250272</v>
      </c>
      <c r="Q19" s="68">
        <f t="shared" si="3"/>
        <v>2.6172164020108162</v>
      </c>
      <c r="R19" s="68">
        <f t="shared" si="3"/>
        <v>2.5765983036080473</v>
      </c>
      <c r="S19" s="68">
        <f t="shared" si="3"/>
        <v>2.5371322507250245</v>
      </c>
      <c r="T19" s="68">
        <f t="shared" si="3"/>
        <v>2.5034981941093646</v>
      </c>
      <c r="U19" s="68">
        <f t="shared" si="3"/>
        <v>2.4659767330342817</v>
      </c>
      <c r="V19" s="68">
        <f t="shared" si="3"/>
        <v>2.434028233274045</v>
      </c>
      <c r="W19" s="68">
        <f t="shared" si="3"/>
        <v>2.3983489911045592</v>
      </c>
      <c r="X19" s="68">
        <f t="shared" si="3"/>
        <v>47.662830210175848</v>
      </c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</row>
    <row r="20" spans="1:38" ht="15" customHeight="1" x14ac:dyDescent="0.75">
      <c r="A20" s="39" t="s">
        <v>103</v>
      </c>
      <c r="B20" s="40">
        <f>+Assumptions!$B$22</f>
        <v>1</v>
      </c>
      <c r="C20" s="65">
        <f>IF(C$3=Assumptions!$F$40,0,Assumptions!$B$22)</f>
        <v>1</v>
      </c>
      <c r="D20" s="65">
        <f>IF(D$3=Assumptions!$F$40,0,Assumptions!$B$22)</f>
        <v>1</v>
      </c>
      <c r="E20" s="65">
        <f>IF(E$3=Assumptions!$F$40,0,Assumptions!$B$22)</f>
        <v>1</v>
      </c>
      <c r="F20" s="65">
        <f>IF(F$3=Assumptions!$F$40,0,Assumptions!$B$22)</f>
        <v>1</v>
      </c>
      <c r="G20" s="65">
        <f>IF(G$3=Assumptions!$F$40,0,Assumptions!$B$22)</f>
        <v>1</v>
      </c>
      <c r="H20" s="65">
        <f>IF(H$3=Assumptions!$F$40,0,Assumptions!$B$22)</f>
        <v>1</v>
      </c>
      <c r="I20" s="65">
        <f>IF(I$3=Assumptions!$F$40,0,Assumptions!$B$22)</f>
        <v>1</v>
      </c>
      <c r="J20" s="65">
        <f>IF(J$3=Assumptions!$F$40,0,Assumptions!$B$22)</f>
        <v>1</v>
      </c>
      <c r="K20" s="65">
        <f>IF(K$3=Assumptions!$F$40,0,Assumptions!$B$22)</f>
        <v>1</v>
      </c>
      <c r="L20" s="65">
        <f>IF(L$3=Assumptions!$F$40,0,Assumptions!$B$22)</f>
        <v>1</v>
      </c>
      <c r="M20" s="65">
        <f>IF(M$3=Assumptions!$F$40,0,Assumptions!$B$22)</f>
        <v>1</v>
      </c>
      <c r="N20" s="65">
        <f>IF(N$3=Assumptions!$F$40,0,Assumptions!$B$22)</f>
        <v>1</v>
      </c>
      <c r="O20" s="65">
        <f>IF(O$3=Assumptions!$F$40,0,Assumptions!$B$22)</f>
        <v>1</v>
      </c>
      <c r="P20" s="65">
        <f>IF(P$3=Assumptions!$F$40,0,Assumptions!$B$22)</f>
        <v>1</v>
      </c>
      <c r="Q20" s="65">
        <f>IF(Q$3=Assumptions!$F$40,0,Assumptions!$B$22)</f>
        <v>1</v>
      </c>
      <c r="R20" s="65">
        <f>IF(R$3=Assumptions!$F$40,0,Assumptions!$B$22)</f>
        <v>1</v>
      </c>
      <c r="S20" s="65">
        <f>IF(S$3=Assumptions!$F$40,0,Assumptions!$B$22)</f>
        <v>1</v>
      </c>
      <c r="T20" s="65">
        <f>IF(T$3=Assumptions!$F$40,0,Assumptions!$B$22)</f>
        <v>1</v>
      </c>
      <c r="U20" s="65">
        <f>IF(U$3=Assumptions!$F$40,0,Assumptions!$B$22)</f>
        <v>1</v>
      </c>
      <c r="V20" s="65">
        <f>IF(V$3=Assumptions!$F$40,0,Assumptions!$B$22)</f>
        <v>1</v>
      </c>
      <c r="W20" s="65">
        <f>IF(W$3=Assumptions!$F$40,0,Assumptions!$B$22)</f>
        <v>1</v>
      </c>
      <c r="X20" s="65">
        <f>IF(X$3=Assumptions!$F$40,0,Assumptions!$B$22)</f>
        <v>0</v>
      </c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</row>
    <row r="21" spans="1:38" ht="15" customHeight="1" x14ac:dyDescent="0.75">
      <c r="A21" s="66" t="s">
        <v>104</v>
      </c>
      <c r="B21" s="68">
        <f t="shared" ref="B21:X21" si="4">MAX(0,B19-B20)</f>
        <v>0</v>
      </c>
      <c r="C21" s="68">
        <f t="shared" si="4"/>
        <v>0.60354000000000019</v>
      </c>
      <c r="D21" s="68">
        <f t="shared" si="4"/>
        <v>0.60176433107200022</v>
      </c>
      <c r="E21" s="68">
        <f t="shared" si="4"/>
        <v>0.59997593427811591</v>
      </c>
      <c r="F21" s="68">
        <f t="shared" si="4"/>
        <v>0.59817495219062833</v>
      </c>
      <c r="G21" s="68">
        <f t="shared" si="4"/>
        <v>0.59636152800307007</v>
      </c>
      <c r="H21" s="68">
        <f t="shared" si="4"/>
        <v>0.59453580551189766</v>
      </c>
      <c r="I21" s="68">
        <f t="shared" si="4"/>
        <v>0.59090578814252837</v>
      </c>
      <c r="J21" s="68">
        <f t="shared" si="4"/>
        <v>0.71364811838504649</v>
      </c>
      <c r="K21" s="68">
        <f t="shared" si="4"/>
        <v>0.70933228422924621</v>
      </c>
      <c r="L21" s="68">
        <f t="shared" si="4"/>
        <v>0.70612613950777448</v>
      </c>
      <c r="M21" s="68">
        <f t="shared" si="4"/>
        <v>0.7029340889984983</v>
      </c>
      <c r="N21" s="68">
        <f t="shared" si="4"/>
        <v>0.70081335253327226</v>
      </c>
      <c r="O21" s="68">
        <f t="shared" si="4"/>
        <v>1.6855650696856084</v>
      </c>
      <c r="P21" s="68">
        <f t="shared" si="4"/>
        <v>1.653703130250272</v>
      </c>
      <c r="Q21" s="68">
        <f t="shared" si="4"/>
        <v>1.6172164020108162</v>
      </c>
      <c r="R21" s="68">
        <f t="shared" si="4"/>
        <v>1.5765983036080473</v>
      </c>
      <c r="S21" s="68">
        <f t="shared" si="4"/>
        <v>1.5371322507250245</v>
      </c>
      <c r="T21" s="68">
        <f t="shared" si="4"/>
        <v>1.5034981941093646</v>
      </c>
      <c r="U21" s="68">
        <f t="shared" si="4"/>
        <v>1.4659767330342817</v>
      </c>
      <c r="V21" s="68">
        <f t="shared" si="4"/>
        <v>1.434028233274045</v>
      </c>
      <c r="W21" s="68">
        <f t="shared" si="4"/>
        <v>1.3983489911045592</v>
      </c>
      <c r="X21" s="68">
        <f t="shared" si="4"/>
        <v>47.662830210175848</v>
      </c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</row>
    <row r="22" spans="1:38" ht="15" customHeight="1" x14ac:dyDescent="0.75">
      <c r="A22" s="66" t="s">
        <v>105</v>
      </c>
      <c r="B22" s="68">
        <f t="shared" ref="B22:X22" si="5">B19-B21</f>
        <v>1</v>
      </c>
      <c r="C22" s="68">
        <f t="shared" si="5"/>
        <v>1</v>
      </c>
      <c r="D22" s="68">
        <f t="shared" si="5"/>
        <v>1</v>
      </c>
      <c r="E22" s="68">
        <f t="shared" si="5"/>
        <v>1</v>
      </c>
      <c r="F22" s="68">
        <f t="shared" si="5"/>
        <v>1</v>
      </c>
      <c r="G22" s="68">
        <f t="shared" si="5"/>
        <v>1</v>
      </c>
      <c r="H22" s="68">
        <f t="shared" si="5"/>
        <v>1</v>
      </c>
      <c r="I22" s="68">
        <f t="shared" si="5"/>
        <v>1</v>
      </c>
      <c r="J22" s="68">
        <f t="shared" si="5"/>
        <v>1</v>
      </c>
      <c r="K22" s="68">
        <f t="shared" si="5"/>
        <v>1</v>
      </c>
      <c r="L22" s="68">
        <f t="shared" si="5"/>
        <v>1</v>
      </c>
      <c r="M22" s="68">
        <f t="shared" si="5"/>
        <v>1</v>
      </c>
      <c r="N22" s="68">
        <f t="shared" si="5"/>
        <v>1</v>
      </c>
      <c r="O22" s="68">
        <f t="shared" si="5"/>
        <v>1</v>
      </c>
      <c r="P22" s="68">
        <f t="shared" si="5"/>
        <v>1</v>
      </c>
      <c r="Q22" s="68">
        <f t="shared" si="5"/>
        <v>1</v>
      </c>
      <c r="R22" s="68">
        <f t="shared" si="5"/>
        <v>1</v>
      </c>
      <c r="S22" s="68">
        <f t="shared" si="5"/>
        <v>1</v>
      </c>
      <c r="T22" s="68">
        <f t="shared" si="5"/>
        <v>1</v>
      </c>
      <c r="U22" s="68">
        <f t="shared" si="5"/>
        <v>1</v>
      </c>
      <c r="V22" s="68">
        <f t="shared" si="5"/>
        <v>1</v>
      </c>
      <c r="W22" s="68">
        <f t="shared" si="5"/>
        <v>1</v>
      </c>
      <c r="X22" s="68">
        <f t="shared" si="5"/>
        <v>0</v>
      </c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spans="1:38" x14ac:dyDescent="0.75">
      <c r="A23" s="66" t="s">
        <v>106</v>
      </c>
      <c r="B23" s="68">
        <f t="shared" ref="B23:X23" si="6">B5+B11-B17-B21-B22</f>
        <v>0</v>
      </c>
      <c r="C23" s="68">
        <f t="shared" si="6"/>
        <v>0</v>
      </c>
      <c r="D23" s="68">
        <f t="shared" si="6"/>
        <v>0</v>
      </c>
      <c r="E23" s="68">
        <f t="shared" si="6"/>
        <v>0</v>
      </c>
      <c r="F23" s="68">
        <f t="shared" si="6"/>
        <v>0</v>
      </c>
      <c r="G23" s="68">
        <f t="shared" si="6"/>
        <v>0</v>
      </c>
      <c r="H23" s="68">
        <f t="shared" si="6"/>
        <v>0</v>
      </c>
      <c r="I23" s="68">
        <f t="shared" si="6"/>
        <v>0</v>
      </c>
      <c r="J23" s="68">
        <f t="shared" si="6"/>
        <v>0</v>
      </c>
      <c r="K23" s="68">
        <f t="shared" si="6"/>
        <v>0</v>
      </c>
      <c r="L23" s="68">
        <f t="shared" si="6"/>
        <v>0</v>
      </c>
      <c r="M23" s="68">
        <f t="shared" si="6"/>
        <v>0</v>
      </c>
      <c r="N23" s="68">
        <f t="shared" si="6"/>
        <v>0</v>
      </c>
      <c r="O23" s="68">
        <f t="shared" si="6"/>
        <v>0</v>
      </c>
      <c r="P23" s="68">
        <f t="shared" si="6"/>
        <v>0</v>
      </c>
      <c r="Q23" s="68">
        <f t="shared" si="6"/>
        <v>0</v>
      </c>
      <c r="R23" s="68">
        <f t="shared" si="6"/>
        <v>0</v>
      </c>
      <c r="S23" s="68">
        <f t="shared" si="6"/>
        <v>0</v>
      </c>
      <c r="T23" s="68">
        <f t="shared" si="6"/>
        <v>0</v>
      </c>
      <c r="U23" s="68">
        <f t="shared" si="6"/>
        <v>0</v>
      </c>
      <c r="V23" s="68">
        <f t="shared" si="6"/>
        <v>0</v>
      </c>
      <c r="W23" s="68">
        <f t="shared" si="6"/>
        <v>0</v>
      </c>
      <c r="X23" s="68">
        <f t="shared" si="6"/>
        <v>0</v>
      </c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</row>
    <row r="24" spans="1:38" x14ac:dyDescent="0.75">
      <c r="A24" s="66" t="s">
        <v>107</v>
      </c>
      <c r="B24" s="68">
        <f>B21*Assumptions!$B$16</f>
        <v>0</v>
      </c>
      <c r="C24" s="68">
        <f>C21*Assumptions!$B$16</f>
        <v>0.53253529411764722</v>
      </c>
      <c r="D24" s="68">
        <f>D21*Assumptions!$B$16</f>
        <v>0.53096852741647083</v>
      </c>
      <c r="E24" s="68">
        <f>E21*Assumptions!$B$16</f>
        <v>0.5293905302453964</v>
      </c>
      <c r="F24" s="68">
        <f>F21*Assumptions!$B$16</f>
        <v>0.52780142840349553</v>
      </c>
      <c r="G24" s="68">
        <f>G21*Assumptions!$B$16</f>
        <v>0.52620134823800302</v>
      </c>
      <c r="H24" s="68">
        <f>H21*Assumptions!$B$16</f>
        <v>0.52459041662814498</v>
      </c>
      <c r="I24" s="68">
        <f>I21*Assumptions!$B$16</f>
        <v>0.52138746012576032</v>
      </c>
      <c r="J24" s="68">
        <f>J21*Assumptions!$B$16</f>
        <v>0.62968951622209979</v>
      </c>
      <c r="K24" s="68">
        <f>K21*Assumptions!$B$16</f>
        <v>0.62588142726109963</v>
      </c>
      <c r="L24" s="68">
        <f>L21*Assumptions!$B$16</f>
        <v>0.62305247603627156</v>
      </c>
      <c r="M24" s="68">
        <f>M21*Assumptions!$B$16</f>
        <v>0.62023596088102784</v>
      </c>
      <c r="N24" s="68">
        <f>N21*Assumptions!$B$16</f>
        <v>0.61836472282347554</v>
      </c>
      <c r="O24" s="68">
        <f>O21*Assumptions!$B$16</f>
        <v>1.4872632967814192</v>
      </c>
      <c r="P24" s="68">
        <f>P21*Assumptions!$B$16</f>
        <v>1.4591498208090636</v>
      </c>
      <c r="Q24" s="68">
        <f>Q21*Assumptions!$B$16</f>
        <v>1.426955648833073</v>
      </c>
      <c r="R24" s="68">
        <f>R21*Assumptions!$B$16</f>
        <v>1.3911161502423945</v>
      </c>
      <c r="S24" s="68">
        <f>S21*Assumptions!$B$16</f>
        <v>1.3562931624044332</v>
      </c>
      <c r="T24" s="68">
        <f>T21*Assumptions!$B$16</f>
        <v>1.32661605362591</v>
      </c>
      <c r="U24" s="68">
        <f>U21*Assumptions!$B$16</f>
        <v>1.2935088820890721</v>
      </c>
      <c r="V24" s="68">
        <f>V21*Assumptions!$B$16</f>
        <v>1.2653190293594514</v>
      </c>
      <c r="W24" s="68">
        <f>W21*Assumptions!$B$16</f>
        <v>1.2338373450922582</v>
      </c>
      <c r="X24" s="68">
        <f>X21*Assumptions!$B$16</f>
        <v>42.055438420743393</v>
      </c>
    </row>
    <row r="25" spans="1:38" x14ac:dyDescent="0.75">
      <c r="A25" s="66" t="s">
        <v>108</v>
      </c>
      <c r="B25" s="68">
        <f>B21*Assumptions!$B$17</f>
        <v>0</v>
      </c>
      <c r="C25" s="68">
        <f>C21*Assumptions!$B$17</f>
        <v>7.1004705882352956E-2</v>
      </c>
      <c r="D25" s="68">
        <f>D21*Assumptions!$B$17</f>
        <v>7.0795803655529441E-2</v>
      </c>
      <c r="E25" s="68">
        <f>E21*Assumptions!$B$17</f>
        <v>7.0585404032719512E-2</v>
      </c>
      <c r="F25" s="68">
        <f>F21*Assumptions!$B$17</f>
        <v>7.0373523787132741E-2</v>
      </c>
      <c r="G25" s="68">
        <f>G21*Assumptions!$B$17</f>
        <v>7.0160179765067068E-2</v>
      </c>
      <c r="H25" s="68">
        <f>H21*Assumptions!$B$17</f>
        <v>6.9945388883752665E-2</v>
      </c>
      <c r="I25" s="68">
        <f>I21*Assumptions!$B$17</f>
        <v>6.9518328016768036E-2</v>
      </c>
      <c r="J25" s="68">
        <f>J21*Assumptions!$B$17</f>
        <v>8.3958602162946649E-2</v>
      </c>
      <c r="K25" s="68">
        <f>K21*Assumptions!$B$17</f>
        <v>8.3450856968146608E-2</v>
      </c>
      <c r="L25" s="68">
        <f>L21*Assumptions!$B$17</f>
        <v>8.3073663471502884E-2</v>
      </c>
      <c r="M25" s="68">
        <f>M21*Assumptions!$B$17</f>
        <v>8.269812811747039E-2</v>
      </c>
      <c r="N25" s="68">
        <f>N21*Assumptions!$B$17</f>
        <v>8.2448629709796731E-2</v>
      </c>
      <c r="O25" s="68">
        <f>O21*Assumptions!$B$17</f>
        <v>0.19830177290418921</v>
      </c>
      <c r="P25" s="68">
        <f>P21*Assumptions!$B$17</f>
        <v>0.19455330944120847</v>
      </c>
      <c r="Q25" s="68">
        <f>Q21*Assumptions!$B$17</f>
        <v>0.19026075317774307</v>
      </c>
      <c r="R25" s="68">
        <f>R21*Assumptions!$B$17</f>
        <v>0.18548215336565263</v>
      </c>
      <c r="S25" s="68">
        <f>S21*Assumptions!$B$17</f>
        <v>0.18083908832059112</v>
      </c>
      <c r="T25" s="68">
        <f>T21*Assumptions!$B$17</f>
        <v>0.17688214048345466</v>
      </c>
      <c r="U25" s="68">
        <f>U21*Assumptions!$B$17</f>
        <v>0.17246785094520961</v>
      </c>
      <c r="V25" s="68">
        <f>V21*Assumptions!$B$17</f>
        <v>0.16870920391459354</v>
      </c>
      <c r="W25" s="68">
        <f>W21*Assumptions!$B$17</f>
        <v>0.16451164601230109</v>
      </c>
      <c r="X25" s="68">
        <f>X21*Assumptions!$B$17</f>
        <v>5.6073917894324525</v>
      </c>
    </row>
    <row r="26" spans="1:38" ht="19.5" customHeight="1" x14ac:dyDescent="0.95">
      <c r="A26" s="48" t="s">
        <v>89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38" x14ac:dyDescent="0.75">
      <c r="A27" s="3" t="s">
        <v>91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38" x14ac:dyDescent="0.75">
      <c r="A28" s="15"/>
      <c r="B28" s="63">
        <f>+Rollforward!B28</f>
        <v>0</v>
      </c>
      <c r="C28" s="63">
        <f>+Rollforward!C28</f>
        <v>1</v>
      </c>
      <c r="D28" s="63">
        <f>+Rollforward!D28</f>
        <v>2</v>
      </c>
      <c r="E28" s="63">
        <f>+Rollforward!E28</f>
        <v>3</v>
      </c>
      <c r="F28" s="63">
        <f>+Rollforward!F28</f>
        <v>4</v>
      </c>
      <c r="G28" s="63">
        <f>+Rollforward!G28</f>
        <v>5</v>
      </c>
      <c r="H28" s="63">
        <f>+Rollforward!H28</f>
        <v>6</v>
      </c>
      <c r="I28" s="63">
        <f>+Rollforward!I28</f>
        <v>7</v>
      </c>
      <c r="J28" s="63">
        <f>+Rollforward!J28</f>
        <v>8</v>
      </c>
      <c r="K28" s="63">
        <f>+Rollforward!K28</f>
        <v>9</v>
      </c>
      <c r="L28" s="63">
        <f>+Rollforward!L28</f>
        <v>10</v>
      </c>
      <c r="M28" s="63">
        <f>+Rollforward!M28</f>
        <v>11</v>
      </c>
      <c r="N28" s="63">
        <f>+Rollforward!N28</f>
        <v>12</v>
      </c>
      <c r="O28" s="63">
        <f>+Rollforward!O28</f>
        <v>13</v>
      </c>
      <c r="P28" s="63">
        <f>+Rollforward!P28</f>
        <v>14</v>
      </c>
      <c r="Q28" s="63">
        <f>+Rollforward!Q28</f>
        <v>15</v>
      </c>
      <c r="R28" s="63">
        <f>+Rollforward!R28</f>
        <v>16</v>
      </c>
      <c r="S28" s="63">
        <f>+Rollforward!S28</f>
        <v>17</v>
      </c>
      <c r="T28" s="63">
        <f>+Rollforward!T28</f>
        <v>18</v>
      </c>
      <c r="U28" s="63">
        <f>+Rollforward!U28</f>
        <v>19</v>
      </c>
      <c r="V28" s="63">
        <f>+Rollforward!V28</f>
        <v>20</v>
      </c>
      <c r="W28" s="63">
        <f>+Rollforward!W28</f>
        <v>21</v>
      </c>
      <c r="X28" s="63">
        <f>+Rollforward!X28</f>
        <v>22</v>
      </c>
      <c r="Y28" s="63">
        <f>+Rollforward!Y28</f>
        <v>23</v>
      </c>
      <c r="Z28" s="63">
        <f>+Rollforward!Z28</f>
        <v>24</v>
      </c>
      <c r="AA28" s="63"/>
    </row>
    <row r="29" spans="1:38" x14ac:dyDescent="0.75">
      <c r="A29" s="15"/>
      <c r="B29" s="63" t="str">
        <f>+Rollforward!B29</f>
        <v>Close / M0</v>
      </c>
      <c r="C29" s="64">
        <f>+Rollforward!C29</f>
        <v>46053</v>
      </c>
      <c r="D29" s="64">
        <f>+Rollforward!D29</f>
        <v>46081</v>
      </c>
      <c r="E29" s="64">
        <f>+Rollforward!E29</f>
        <v>46112</v>
      </c>
      <c r="F29" s="64">
        <f>+Rollforward!F29</f>
        <v>46142</v>
      </c>
      <c r="G29" s="64">
        <f>+Rollforward!G29</f>
        <v>46173</v>
      </c>
      <c r="H29" s="64">
        <f>+Rollforward!H29</f>
        <v>46203</v>
      </c>
      <c r="I29" s="64">
        <f>+Rollforward!I29</f>
        <v>46234</v>
      </c>
      <c r="J29" s="64">
        <f>+Rollforward!J29</f>
        <v>46265</v>
      </c>
      <c r="K29" s="64">
        <f>+Rollforward!K29</f>
        <v>46295</v>
      </c>
      <c r="L29" s="64">
        <f>+Rollforward!L29</f>
        <v>46326</v>
      </c>
      <c r="M29" s="64">
        <f>+Rollforward!M29</f>
        <v>46356</v>
      </c>
      <c r="N29" s="64">
        <f>+Rollforward!N29</f>
        <v>46387</v>
      </c>
      <c r="O29" s="64">
        <f>+Rollforward!O29</f>
        <v>46418</v>
      </c>
      <c r="P29" s="64">
        <f>+Rollforward!P29</f>
        <v>46446</v>
      </c>
      <c r="Q29" s="64">
        <f>+Rollforward!Q29</f>
        <v>46477</v>
      </c>
      <c r="R29" s="64">
        <f>+Rollforward!R29</f>
        <v>46507</v>
      </c>
      <c r="S29" s="64">
        <f>+Rollforward!S29</f>
        <v>46538</v>
      </c>
      <c r="T29" s="64">
        <f>+Rollforward!T29</f>
        <v>46568</v>
      </c>
      <c r="U29" s="64">
        <f>+Rollforward!U29</f>
        <v>46599</v>
      </c>
      <c r="V29" s="64">
        <f>+Rollforward!V29</f>
        <v>46630</v>
      </c>
      <c r="W29" s="64">
        <f>+Rollforward!W29</f>
        <v>46660</v>
      </c>
      <c r="X29" s="64">
        <f>+Rollforward!X29</f>
        <v>46691</v>
      </c>
      <c r="Y29" s="64">
        <f>+Rollforward!Y29</f>
        <v>46721</v>
      </c>
      <c r="Z29" s="64">
        <f>+Rollforward!Z29</f>
        <v>46752</v>
      </c>
      <c r="AA29" s="64"/>
    </row>
    <row r="30" spans="1:38" x14ac:dyDescent="0.75">
      <c r="A30" s="39" t="s">
        <v>92</v>
      </c>
      <c r="B30" s="40">
        <f>+Sources_Uses!$B$7</f>
        <v>1</v>
      </c>
      <c r="C30" s="65">
        <f t="shared" ref="C30:Z30" si="7">B47</f>
        <v>1</v>
      </c>
      <c r="D30" s="65">
        <f t="shared" si="7"/>
        <v>1</v>
      </c>
      <c r="E30" s="65">
        <f t="shared" si="7"/>
        <v>1</v>
      </c>
      <c r="F30" s="65">
        <f t="shared" si="7"/>
        <v>1</v>
      </c>
      <c r="G30" s="65">
        <f t="shared" si="7"/>
        <v>1</v>
      </c>
      <c r="H30" s="65">
        <f t="shared" si="7"/>
        <v>1</v>
      </c>
      <c r="I30" s="65">
        <f t="shared" si="7"/>
        <v>1</v>
      </c>
      <c r="J30" s="65">
        <f t="shared" si="7"/>
        <v>1</v>
      </c>
      <c r="K30" s="65">
        <f t="shared" si="7"/>
        <v>1</v>
      </c>
      <c r="L30" s="65">
        <f t="shared" si="7"/>
        <v>1</v>
      </c>
      <c r="M30" s="65">
        <f t="shared" si="7"/>
        <v>1</v>
      </c>
      <c r="N30" s="65">
        <f t="shared" si="7"/>
        <v>1</v>
      </c>
      <c r="O30" s="65">
        <f t="shared" si="7"/>
        <v>1</v>
      </c>
      <c r="P30" s="65">
        <f t="shared" si="7"/>
        <v>1</v>
      </c>
      <c r="Q30" s="65">
        <f t="shared" si="7"/>
        <v>1</v>
      </c>
      <c r="R30" s="65">
        <f t="shared" si="7"/>
        <v>1</v>
      </c>
      <c r="S30" s="65">
        <f t="shared" si="7"/>
        <v>1</v>
      </c>
      <c r="T30" s="65">
        <f t="shared" si="7"/>
        <v>1</v>
      </c>
      <c r="U30" s="65">
        <f t="shared" si="7"/>
        <v>1</v>
      </c>
      <c r="V30" s="65">
        <f t="shared" si="7"/>
        <v>1</v>
      </c>
      <c r="W30" s="65">
        <f t="shared" si="7"/>
        <v>1</v>
      </c>
      <c r="X30" s="65">
        <f t="shared" si="7"/>
        <v>1</v>
      </c>
      <c r="Y30" s="65">
        <f t="shared" si="7"/>
        <v>1</v>
      </c>
      <c r="Z30" s="65">
        <f t="shared" si="7"/>
        <v>1</v>
      </c>
    </row>
    <row r="31" spans="1:38" x14ac:dyDescent="0.75">
      <c r="A31" s="39" t="s">
        <v>76</v>
      </c>
      <c r="B31" s="65">
        <v>0</v>
      </c>
      <c r="C31" s="40">
        <f>+Rollforward!C$32</f>
        <v>0.52083333333333337</v>
      </c>
      <c r="D31" s="40">
        <f>+Rollforward!D$32</f>
        <v>0.52080833333333343</v>
      </c>
      <c r="E31" s="40">
        <f>+Rollforward!E$32</f>
        <v>0.52078333453333348</v>
      </c>
      <c r="F31" s="40">
        <f>+Rollforward!F$32</f>
        <v>0.52075521223326859</v>
      </c>
      <c r="G31" s="40">
        <f>+Rollforward!G$32</f>
        <v>0.52072709145180796</v>
      </c>
      <c r="H31" s="40">
        <f>+Rollforward!H$32</f>
        <v>0.52069584782632083</v>
      </c>
      <c r="I31" s="40">
        <f>+Rollforward!I$32</f>
        <v>0.52066460607545129</v>
      </c>
      <c r="J31" s="40">
        <f>+Rollforward!J$32</f>
        <v>0.62480315685338983</v>
      </c>
      <c r="K31" s="40">
        <f>+Rollforward!K$32</f>
        <v>0.62476941748291981</v>
      </c>
      <c r="L31" s="40">
        <f>+Rollforward!L$32</f>
        <v>0.62473567993437573</v>
      </c>
      <c r="M31" s="40">
        <f>+Rollforward!M$32</f>
        <v>0.62470569262173892</v>
      </c>
      <c r="N31" s="40">
        <f>+Rollforward!N$32</f>
        <v>0.62467570674849304</v>
      </c>
      <c r="O31" s="40">
        <f>+Rollforward!O$32</f>
        <v>0.62464572231456905</v>
      </c>
      <c r="P31" s="40">
        <f>+Rollforward!P$32</f>
        <v>0.67669907265323126</v>
      </c>
      <c r="Q31" s="40">
        <f>+Rollforward!Q$32</f>
        <v>0.67666659109774396</v>
      </c>
      <c r="R31" s="40">
        <f>+Rollforward!R$32</f>
        <v>0.67663411110137117</v>
      </c>
      <c r="S31" s="40">
        <f>+Rollforward!S$32</f>
        <v>0.67660163266403828</v>
      </c>
      <c r="T31" s="40">
        <f>+Rollforward!T$32</f>
        <v>0.67656915578567034</v>
      </c>
      <c r="U31" s="40">
        <f>+Rollforward!U$32</f>
        <v>0.67653668046619264</v>
      </c>
      <c r="V31" s="40">
        <f>+Rollforward!V$32</f>
        <v>0.67650420670553013</v>
      </c>
      <c r="W31" s="40">
        <f>+Rollforward!W$32</f>
        <v>0.67647173450360831</v>
      </c>
      <c r="X31" s="40">
        <f>+Rollforward!X$32</f>
        <v>0.66375406589494046</v>
      </c>
      <c r="Y31" s="40">
        <f>+Rollforward!Y$32</f>
        <v>0.65127548945611557</v>
      </c>
      <c r="Z31" s="40">
        <f>+Rollforward!Z$32</f>
        <v>0.63903151025434057</v>
      </c>
    </row>
    <row r="32" spans="1:38" x14ac:dyDescent="0.75">
      <c r="A32" s="39" t="s">
        <v>93</v>
      </c>
      <c r="B32" s="65">
        <v>0</v>
      </c>
      <c r="C32" s="40">
        <f>+Rollforward!C$34</f>
        <v>0.89999999999999991</v>
      </c>
      <c r="D32" s="40">
        <f>+Rollforward!D$34</f>
        <v>0.8999568</v>
      </c>
      <c r="E32" s="40">
        <f>+Rollforward!E$34</f>
        <v>0.89991360207360016</v>
      </c>
      <c r="F32" s="40">
        <f>+Rollforward!F$34</f>
        <v>0.89986500673908809</v>
      </c>
      <c r="G32" s="40">
        <f>+Rollforward!G$34</f>
        <v>0.89981641402872414</v>
      </c>
      <c r="H32" s="40">
        <f>+Rollforward!H$34</f>
        <v>0.89976242504388237</v>
      </c>
      <c r="I32" s="40">
        <f>+Rollforward!I$34</f>
        <v>0.89970843929837974</v>
      </c>
      <c r="J32" s="40">
        <f>+Rollforward!J$34</f>
        <v>1.0796598550426575</v>
      </c>
      <c r="K32" s="40">
        <f>+Rollforward!K$34</f>
        <v>1.0796015534104852</v>
      </c>
      <c r="L32" s="40">
        <f>+Rollforward!L$34</f>
        <v>1.0795432549266011</v>
      </c>
      <c r="M32" s="40">
        <f>+Rollforward!M$34</f>
        <v>1.0794914368503647</v>
      </c>
      <c r="N32" s="40">
        <f>+Rollforward!N$34</f>
        <v>1.0794396212613959</v>
      </c>
      <c r="O32" s="40">
        <f>+Rollforward!O$34</f>
        <v>1.0793878081595754</v>
      </c>
      <c r="P32" s="40">
        <f>+Rollforward!P$34</f>
        <v>1.1693359975447837</v>
      </c>
      <c r="Q32" s="40">
        <f>+Rollforward!Q$34</f>
        <v>1.1692798694169013</v>
      </c>
      <c r="R32" s="40">
        <f>+Rollforward!R$34</f>
        <v>1.1692237439831692</v>
      </c>
      <c r="S32" s="40">
        <f>+Rollforward!S$34</f>
        <v>1.1691676212434581</v>
      </c>
      <c r="T32" s="40">
        <f>+Rollforward!T$34</f>
        <v>1.1691115011976383</v>
      </c>
      <c r="U32" s="40">
        <f>+Rollforward!U$34</f>
        <v>1.1690553838455808</v>
      </c>
      <c r="V32" s="40">
        <f>+Rollforward!V$34</f>
        <v>1.168999269187156</v>
      </c>
      <c r="W32" s="40">
        <f>+Rollforward!W$34</f>
        <v>1.1689431572222351</v>
      </c>
      <c r="X32" s="40">
        <f>+Rollforward!X$34</f>
        <v>1.146967025866457</v>
      </c>
      <c r="Y32" s="40">
        <f>+Rollforward!Y$34</f>
        <v>1.1254040457801675</v>
      </c>
      <c r="Z32" s="40">
        <f>+Rollforward!Z$34</f>
        <v>1.1042464497195006</v>
      </c>
    </row>
    <row r="33" spans="1:26" x14ac:dyDescent="0.75">
      <c r="A33" s="39" t="s">
        <v>94</v>
      </c>
      <c r="B33" s="65">
        <v>0</v>
      </c>
      <c r="C33" s="40">
        <f>+Rollforward!C$38</f>
        <v>3.7600000000000001E-2</v>
      </c>
      <c r="D33" s="40">
        <f>+Rollforward!D$38</f>
        <v>3.7598195200000004E-2</v>
      </c>
      <c r="E33" s="40">
        <f>+Rollforward!E$38</f>
        <v>4.2295939297459208E-2</v>
      </c>
      <c r="F33" s="40">
        <f>+Rollforward!F$38</f>
        <v>4.2293655316737143E-2</v>
      </c>
      <c r="G33" s="40">
        <f>+Rollforward!G$38</f>
        <v>4.6990412732611148E-2</v>
      </c>
      <c r="H33" s="40">
        <f>+Rollforward!H$38</f>
        <v>4.6987593307847193E-2</v>
      </c>
      <c r="I33" s="40">
        <f>+Rollforward!I$38</f>
        <v>4.2286296647023845E-2</v>
      </c>
      <c r="J33" s="40">
        <f>+Rollforward!J$38</f>
        <v>5.0744013187004902E-2</v>
      </c>
      <c r="K33" s="40">
        <f>+Rollforward!K$38</f>
        <v>5.0741273010292812E-2</v>
      </c>
      <c r="L33" s="40">
        <f>+Rollforward!L$38</f>
        <v>4.5100918205822453E-2</v>
      </c>
      <c r="M33" s="40">
        <f>+Rollforward!M$38</f>
        <v>4.5098753361748574E-2</v>
      </c>
      <c r="N33" s="40">
        <f>+Rollforward!N$38</f>
        <v>4.5096588621587205E-2</v>
      </c>
      <c r="O33" s="40">
        <f>+Rollforward!O$38</f>
        <v>4.5094423985333372E-2</v>
      </c>
      <c r="P33" s="40">
        <f>+Rollforward!P$38</f>
        <v>4.8852259452982078E-2</v>
      </c>
      <c r="Q33" s="40">
        <f>+Rollforward!Q$38</f>
        <v>4.8849914544528333E-2</v>
      </c>
      <c r="R33" s="40">
        <f>+Rollforward!R$38</f>
        <v>4.8847569748630186E-2</v>
      </c>
      <c r="S33" s="40">
        <f>+Rollforward!S$38</f>
        <v>4.8845225065282251E-2</v>
      </c>
      <c r="T33" s="40">
        <f>+Rollforward!T$38</f>
        <v>4.8842880494479116E-2</v>
      </c>
      <c r="U33" s="40">
        <f>+Rollforward!U$38</f>
        <v>4.8840536036215375E-2</v>
      </c>
      <c r="V33" s="40">
        <f>+Rollforward!V$38</f>
        <v>4.883819169048563E-2</v>
      </c>
      <c r="W33" s="40">
        <f>+Rollforward!W$38</f>
        <v>4.883584745728449E-2</v>
      </c>
      <c r="X33" s="40">
        <f>+Rollforward!X$38</f>
        <v>4.791773352508754E-2</v>
      </c>
      <c r="Y33" s="40">
        <f>+Rollforward!Y$38</f>
        <v>4.7016880134815892E-2</v>
      </c>
      <c r="Z33" s="40">
        <f>+Rollforward!Z$38</f>
        <v>4.6132962788281356E-2</v>
      </c>
    </row>
    <row r="34" spans="1:26" x14ac:dyDescent="0.75">
      <c r="A34" s="39" t="s">
        <v>95</v>
      </c>
      <c r="B34" s="65">
        <v>0</v>
      </c>
      <c r="C34" s="40">
        <f>+Rollforward!C$42</f>
        <v>0</v>
      </c>
      <c r="D34" s="40">
        <f>+Rollforward!D$42</f>
        <v>0</v>
      </c>
      <c r="E34" s="40">
        <f>+Rollforward!E$42</f>
        <v>0</v>
      </c>
      <c r="F34" s="40">
        <f>+Rollforward!F$42</f>
        <v>0</v>
      </c>
      <c r="G34" s="40">
        <f>+Rollforward!G$42</f>
        <v>0</v>
      </c>
      <c r="H34" s="40">
        <f>+Rollforward!H$42</f>
        <v>0</v>
      </c>
      <c r="I34" s="40">
        <f>+Rollforward!I$42</f>
        <v>10</v>
      </c>
      <c r="J34" s="40">
        <f>+Rollforward!J$42</f>
        <v>0</v>
      </c>
      <c r="K34" s="40">
        <f>+Rollforward!K$42</f>
        <v>0</v>
      </c>
      <c r="L34" s="40">
        <f>+Rollforward!L$42</f>
        <v>0</v>
      </c>
      <c r="M34" s="40">
        <f>+Rollforward!M$42</f>
        <v>0</v>
      </c>
      <c r="N34" s="40">
        <f>+Rollforward!N$42</f>
        <v>0</v>
      </c>
      <c r="O34" s="40">
        <f>+Rollforward!O$42</f>
        <v>5</v>
      </c>
      <c r="P34" s="40">
        <f>+Rollforward!P$42</f>
        <v>0</v>
      </c>
      <c r="Q34" s="40">
        <f>+Rollforward!Q$42</f>
        <v>0</v>
      </c>
      <c r="R34" s="40">
        <f>+Rollforward!R$42</f>
        <v>0</v>
      </c>
      <c r="S34" s="40">
        <f>+Rollforward!S$42</f>
        <v>0</v>
      </c>
      <c r="T34" s="40">
        <f>+Rollforward!T$42</f>
        <v>0</v>
      </c>
      <c r="U34" s="40">
        <f>+Rollforward!U$42</f>
        <v>0</v>
      </c>
      <c r="V34" s="40">
        <f>+Rollforward!V$42</f>
        <v>0</v>
      </c>
      <c r="W34" s="40">
        <f>+Rollforward!W$42</f>
        <v>0</v>
      </c>
      <c r="X34" s="40">
        <f>+Rollforward!X$42</f>
        <v>0</v>
      </c>
      <c r="Y34" s="40">
        <f>+Rollforward!Y$42</f>
        <v>0</v>
      </c>
      <c r="Z34" s="40">
        <f>+Rollforward!Z$42</f>
        <v>0</v>
      </c>
    </row>
    <row r="35" spans="1:26" ht="15" customHeight="1" x14ac:dyDescent="0.75">
      <c r="A35" s="39" t="s">
        <v>87</v>
      </c>
      <c r="B35" s="65">
        <v>0</v>
      </c>
      <c r="C35" s="40">
        <f>+Rollforward!C$46</f>
        <v>0</v>
      </c>
      <c r="D35" s="40">
        <f>+Rollforward!D$46</f>
        <v>0</v>
      </c>
      <c r="E35" s="40">
        <f>+Rollforward!E$46</f>
        <v>0</v>
      </c>
      <c r="F35" s="40">
        <f>+Rollforward!F$46</f>
        <v>0</v>
      </c>
      <c r="G35" s="40">
        <f>+Rollforward!G$46</f>
        <v>0</v>
      </c>
      <c r="H35" s="40">
        <f>+Rollforward!H$46</f>
        <v>0</v>
      </c>
      <c r="I35" s="40">
        <f>+Rollforward!I$46</f>
        <v>0</v>
      </c>
      <c r="J35" s="40">
        <f>+Rollforward!J$46</f>
        <v>0</v>
      </c>
      <c r="K35" s="40">
        <f>+Rollforward!K$46</f>
        <v>0</v>
      </c>
      <c r="L35" s="40">
        <f>+Rollforward!L$46</f>
        <v>0</v>
      </c>
      <c r="M35" s="40">
        <f>+Rollforward!M$46</f>
        <v>0</v>
      </c>
      <c r="N35" s="40">
        <f>+Rollforward!N$46</f>
        <v>0</v>
      </c>
      <c r="O35" s="40">
        <f>+Rollforward!O$46</f>
        <v>0</v>
      </c>
      <c r="P35" s="40">
        <f>+Rollforward!P$46</f>
        <v>0</v>
      </c>
      <c r="Q35" s="40">
        <f>+Rollforward!Q$46</f>
        <v>0</v>
      </c>
      <c r="R35" s="40">
        <f>+Rollforward!R$46</f>
        <v>0</v>
      </c>
      <c r="S35" s="40">
        <f>+Rollforward!S$46</f>
        <v>0</v>
      </c>
      <c r="T35" s="40">
        <f>+Rollforward!T$46</f>
        <v>0</v>
      </c>
      <c r="U35" s="40">
        <f>+Rollforward!U$46</f>
        <v>0</v>
      </c>
      <c r="V35" s="40">
        <f>+Rollforward!V$46</f>
        <v>0</v>
      </c>
      <c r="W35" s="40">
        <f>+Rollforward!W$46</f>
        <v>0</v>
      </c>
      <c r="X35" s="40">
        <f>+Rollforward!X$46</f>
        <v>0</v>
      </c>
      <c r="Y35" s="40">
        <f>+Rollforward!Y$46</f>
        <v>0</v>
      </c>
      <c r="Z35" s="40">
        <f>+Rollforward!Z$46</f>
        <v>59.591763905562559</v>
      </c>
    </row>
    <row r="36" spans="1:26" x14ac:dyDescent="0.75">
      <c r="A36" s="66" t="s">
        <v>96</v>
      </c>
      <c r="B36" s="67">
        <v>0</v>
      </c>
      <c r="C36" s="68">
        <f t="shared" ref="C36:Z36" si="8">SUM(C31:C35)</f>
        <v>1.4584333333333335</v>
      </c>
      <c r="D36" s="68">
        <f t="shared" si="8"/>
        <v>1.4583633285333335</v>
      </c>
      <c r="E36" s="68">
        <f t="shared" si="8"/>
        <v>1.4629928759043929</v>
      </c>
      <c r="F36" s="68">
        <f t="shared" si="8"/>
        <v>1.4629138742890939</v>
      </c>
      <c r="G36" s="68">
        <f t="shared" si="8"/>
        <v>1.4675339182131431</v>
      </c>
      <c r="H36" s="68">
        <f t="shared" si="8"/>
        <v>1.4674458661780505</v>
      </c>
      <c r="I36" s="68">
        <f t="shared" si="8"/>
        <v>11.462659342020855</v>
      </c>
      <c r="J36" s="68">
        <f t="shared" si="8"/>
        <v>1.7552070250830523</v>
      </c>
      <c r="K36" s="68">
        <f t="shared" si="8"/>
        <v>1.7551122439036979</v>
      </c>
      <c r="L36" s="68">
        <f t="shared" si="8"/>
        <v>1.7493798530667992</v>
      </c>
      <c r="M36" s="68">
        <f t="shared" si="8"/>
        <v>1.7492958828338523</v>
      </c>
      <c r="N36" s="68">
        <f t="shared" si="8"/>
        <v>1.7492119166314761</v>
      </c>
      <c r="O36" s="68">
        <f t="shared" si="8"/>
        <v>6.7491279544594782</v>
      </c>
      <c r="P36" s="68">
        <f t="shared" si="8"/>
        <v>1.8948873296509972</v>
      </c>
      <c r="Q36" s="68">
        <f t="shared" si="8"/>
        <v>1.8947963750591734</v>
      </c>
      <c r="R36" s="68">
        <f t="shared" si="8"/>
        <v>1.8947054248331705</v>
      </c>
      <c r="S36" s="68">
        <f t="shared" si="8"/>
        <v>1.8946144789727786</v>
      </c>
      <c r="T36" s="68">
        <f t="shared" si="8"/>
        <v>1.8945235374777878</v>
      </c>
      <c r="U36" s="68">
        <f t="shared" si="8"/>
        <v>1.894432600347989</v>
      </c>
      <c r="V36" s="68">
        <f t="shared" si="8"/>
        <v>1.8943416675831717</v>
      </c>
      <c r="W36" s="68">
        <f t="shared" si="8"/>
        <v>1.8942507391831278</v>
      </c>
      <c r="X36" s="68">
        <f t="shared" si="8"/>
        <v>1.8586388252864852</v>
      </c>
      <c r="Y36" s="68">
        <f t="shared" si="8"/>
        <v>1.8236964153710988</v>
      </c>
      <c r="Z36" s="68">
        <f t="shared" si="8"/>
        <v>61.381174828324681</v>
      </c>
    </row>
    <row r="37" spans="1:26" x14ac:dyDescent="0.75">
      <c r="A37" s="1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x14ac:dyDescent="0.75">
      <c r="A38" s="39" t="s">
        <v>97</v>
      </c>
      <c r="B38" s="65">
        <v>0</v>
      </c>
      <c r="C38" s="65">
        <f>Rollforward!C$30*Assumptions!$G$31/12</f>
        <v>4.1666666666666664E-2</v>
      </c>
      <c r="D38" s="65">
        <f>Rollforward!D$30*Assumptions!$G$31/12</f>
        <v>4.1664666666666676E-2</v>
      </c>
      <c r="E38" s="65">
        <f>Rollforward!E$30*Assumptions!$G$31/12</f>
        <v>4.1662666762666681E-2</v>
      </c>
      <c r="F38" s="65">
        <f>Rollforward!F$30*Assumptions!$G$31/12</f>
        <v>4.1660416978661484E-2</v>
      </c>
      <c r="G38" s="65">
        <f>Rollforward!G$30*Assumptions!$G$31/12</f>
        <v>4.1658167316144641E-2</v>
      </c>
      <c r="H38" s="65">
        <f>Rollforward!H$30*Assumptions!$G$31/12</f>
        <v>4.165566782610567E-2</v>
      </c>
      <c r="I38" s="65">
        <f>Rollforward!I$30*Assumptions!$G$31/12</f>
        <v>4.1653168486036098E-2</v>
      </c>
      <c r="J38" s="65">
        <f>Rollforward!J$30*Assumptions!$G$31/12</f>
        <v>4.9984252548271185E-2</v>
      </c>
      <c r="K38" s="65">
        <f>Rollforward!K$30*Assumptions!$G$31/12</f>
        <v>4.9981553398633582E-2</v>
      </c>
      <c r="L38" s="65">
        <f>Rollforward!L$30*Assumptions!$G$31/12</f>
        <v>4.9978854394750055E-2</v>
      </c>
      <c r="M38" s="65">
        <f>Rollforward!M$30*Assumptions!$G$31/12</f>
        <v>4.9976455409739114E-2</v>
      </c>
      <c r="N38" s="65">
        <f>Rollforward!N$30*Assumptions!$G$31/12</f>
        <v>4.9974056539879443E-2</v>
      </c>
      <c r="O38" s="65">
        <f>Rollforward!O$30*Assumptions!$G$31/12</f>
        <v>4.9971657785165526E-2</v>
      </c>
      <c r="P38" s="65">
        <f>Rollforward!P$30*Assumptions!$G$31/12</f>
        <v>5.4135925812258505E-2</v>
      </c>
      <c r="Q38" s="65">
        <f>Rollforward!Q$30*Assumptions!$G$31/12</f>
        <v>5.413332728781952E-2</v>
      </c>
      <c r="R38" s="65">
        <f>Rollforward!R$30*Assumptions!$G$31/12</f>
        <v>5.4130728888109693E-2</v>
      </c>
      <c r="S38" s="65">
        <f>Rollforward!S$30*Assumptions!$G$31/12</f>
        <v>5.412813061312307E-2</v>
      </c>
      <c r="T38" s="65">
        <f>Rollforward!T$30*Assumptions!$G$31/12</f>
        <v>5.4125532462853627E-2</v>
      </c>
      <c r="U38" s="65">
        <f>Rollforward!U$30*Assumptions!$G$31/12</f>
        <v>5.4122934437295406E-2</v>
      </c>
      <c r="V38" s="65">
        <f>Rollforward!V$30*Assumptions!$G$31/12</f>
        <v>5.4120336536442416E-2</v>
      </c>
      <c r="W38" s="65">
        <f>Rollforward!W$30*Assumptions!$G$31/12</f>
        <v>5.4117738760288664E-2</v>
      </c>
      <c r="X38" s="65">
        <f>Rollforward!X$30*Assumptions!$G$31/12</f>
        <v>5.3100325271595229E-2</v>
      </c>
      <c r="Y38" s="65">
        <f>Rollforward!Y$30*Assumptions!$G$31/12</f>
        <v>5.2102039156489248E-2</v>
      </c>
      <c r="Z38" s="65">
        <f>Rollforward!Z$30*Assumptions!$G$31/12</f>
        <v>5.1122520820347246E-2</v>
      </c>
    </row>
    <row r="39" spans="1:26" x14ac:dyDescent="0.75">
      <c r="A39" s="39" t="s">
        <v>98</v>
      </c>
      <c r="B39" s="65">
        <v>0</v>
      </c>
      <c r="C39" s="65">
        <f>Rollforward!C$30*Assumptions!$G$33/12</f>
        <v>1.4583333333333335E-2</v>
      </c>
      <c r="D39" s="65">
        <f>Rollforward!D$30*Assumptions!$G$33/12</f>
        <v>1.4582633333333336E-2</v>
      </c>
      <c r="E39" s="65">
        <f>Rollforward!E$30*Assumptions!$G$33/12</f>
        <v>1.4581933366933338E-2</v>
      </c>
      <c r="F39" s="65">
        <f>Rollforward!F$30*Assumptions!$G$33/12</f>
        <v>1.4581145942531522E-2</v>
      </c>
      <c r="G39" s="65">
        <f>Rollforward!G$30*Assumptions!$G$33/12</f>
        <v>1.4580358560650625E-2</v>
      </c>
      <c r="H39" s="65">
        <f>Rollforward!H$30*Assumptions!$G$33/12</f>
        <v>1.4579483739136983E-2</v>
      </c>
      <c r="I39" s="65">
        <f>Rollforward!I$30*Assumptions!$G$33/12</f>
        <v>1.4578608970112636E-2</v>
      </c>
      <c r="J39" s="65">
        <f>Rollforward!J$30*Assumptions!$G$33/12</f>
        <v>1.7494488391894915E-2</v>
      </c>
      <c r="K39" s="65">
        <f>Rollforward!K$30*Assumptions!$G$33/12</f>
        <v>1.7493543689521756E-2</v>
      </c>
      <c r="L39" s="65">
        <f>Rollforward!L$30*Assumptions!$G$33/12</f>
        <v>1.7492599038162523E-2</v>
      </c>
      <c r="M39" s="65">
        <f>Rollforward!M$30*Assumptions!$G$33/12</f>
        <v>1.749175939340869E-2</v>
      </c>
      <c r="N39" s="65">
        <f>Rollforward!N$30*Assumptions!$G$33/12</f>
        <v>1.7490919788957806E-2</v>
      </c>
      <c r="O39" s="65">
        <f>Rollforward!O$30*Assumptions!$G$33/12</f>
        <v>1.7490080224807934E-2</v>
      </c>
      <c r="P39" s="65">
        <f>Rollforward!P$30*Assumptions!$G$33/12</f>
        <v>1.8947574034290478E-2</v>
      </c>
      <c r="Q39" s="65">
        <f>Rollforward!Q$30*Assumptions!$G$33/12</f>
        <v>1.894666455073683E-2</v>
      </c>
      <c r="R39" s="65">
        <f>Rollforward!R$30*Assumptions!$G$33/12</f>
        <v>1.8945755110838392E-2</v>
      </c>
      <c r="S39" s="65">
        <f>Rollforward!S$30*Assumptions!$G$33/12</f>
        <v>1.8944845714593071E-2</v>
      </c>
      <c r="T39" s="65">
        <f>Rollforward!T$30*Assumptions!$G$33/12</f>
        <v>1.8943936361998769E-2</v>
      </c>
      <c r="U39" s="65">
        <f>Rollforward!U$30*Assumptions!$G$33/12</f>
        <v>1.8943027053053393E-2</v>
      </c>
      <c r="V39" s="65">
        <f>Rollforward!V$30*Assumptions!$G$33/12</f>
        <v>1.8942117787754845E-2</v>
      </c>
      <c r="W39" s="65">
        <f>Rollforward!W$30*Assumptions!$G$33/12</f>
        <v>1.8941208566101032E-2</v>
      </c>
      <c r="X39" s="65">
        <f>Rollforward!X$30*Assumptions!$G$33/12</f>
        <v>1.8585113845058333E-2</v>
      </c>
      <c r="Y39" s="65">
        <f>Rollforward!Y$30*Assumptions!$G$33/12</f>
        <v>1.8235713704771235E-2</v>
      </c>
      <c r="Z39" s="65">
        <f>Rollforward!Z$30*Assumptions!$G$33/12</f>
        <v>1.7892882287121537E-2</v>
      </c>
    </row>
    <row r="40" spans="1:26" x14ac:dyDescent="0.75">
      <c r="A40" s="39" t="s">
        <v>99</v>
      </c>
      <c r="B40" s="65">
        <v>0</v>
      </c>
      <c r="C40" s="40">
        <f>+'Monthly Data'!Y$8</f>
        <v>1.7999999999999999E-2</v>
      </c>
      <c r="D40" s="40">
        <f>+'Monthly Data'!Z$8</f>
        <v>1.7999999999999999E-2</v>
      </c>
      <c r="E40" s="40">
        <f>+'Monthly Data'!AA$8</f>
        <v>1.7999999999999999E-2</v>
      </c>
      <c r="F40" s="40">
        <f>+'Monthly Data'!AB$8</f>
        <v>1.7999999999999999E-2</v>
      </c>
      <c r="G40" s="40">
        <f>+'Monthly Data'!AC$8</f>
        <v>1.7999999999999999E-2</v>
      </c>
      <c r="H40" s="40">
        <f>+'Monthly Data'!AD$8</f>
        <v>1.7999999999999999E-2</v>
      </c>
      <c r="I40" s="40">
        <f>+'Monthly Data'!AE$8</f>
        <v>1.7999999999999999E-2</v>
      </c>
      <c r="J40" s="40">
        <f>+'Monthly Data'!AF$8</f>
        <v>1.7999999999999999E-2</v>
      </c>
      <c r="K40" s="40">
        <f>+'Monthly Data'!AG$8</f>
        <v>1.7999999999999999E-2</v>
      </c>
      <c r="L40" s="40">
        <f>+'Monthly Data'!AH$8</f>
        <v>1.7999999999999999E-2</v>
      </c>
      <c r="M40" s="40">
        <f>+'Monthly Data'!AI$8</f>
        <v>1.7999999999999999E-2</v>
      </c>
      <c r="N40" s="40">
        <f>+'Monthly Data'!AJ$8</f>
        <v>1.7999999999999999E-2</v>
      </c>
      <c r="O40" s="40">
        <f>+'Monthly Data'!AK$8</f>
        <v>1.7999999999999999E-2</v>
      </c>
      <c r="P40" s="40">
        <f>+'Monthly Data'!AL$8</f>
        <v>1.7999999999999999E-2</v>
      </c>
      <c r="Q40" s="40">
        <f>+'Monthly Data'!AM$8</f>
        <v>1.7999999999999999E-2</v>
      </c>
      <c r="R40" s="40">
        <f>+'Monthly Data'!AN$8</f>
        <v>1.7999999999999999E-2</v>
      </c>
      <c r="S40" s="40">
        <f>+'Monthly Data'!AO$8</f>
        <v>1.7999999999999999E-2</v>
      </c>
      <c r="T40" s="40">
        <f>+'Monthly Data'!AP$8</f>
        <v>1.7999999999999999E-2</v>
      </c>
      <c r="U40" s="40">
        <f>+'Monthly Data'!AQ$8</f>
        <v>1.7999999999999999E-2</v>
      </c>
      <c r="V40" s="40">
        <f>+'Monthly Data'!AR$8</f>
        <v>1.7999999999999999E-2</v>
      </c>
      <c r="W40" s="40">
        <f>+'Monthly Data'!AS$8</f>
        <v>1.7999999999999999E-2</v>
      </c>
      <c r="X40" s="40">
        <f>+'Monthly Data'!AT$8</f>
        <v>1.7999999999999999E-2</v>
      </c>
      <c r="Y40" s="40">
        <f>+'Monthly Data'!AU$8</f>
        <v>1.7999999999999999E-2</v>
      </c>
      <c r="Z40" s="40">
        <f>+'Monthly Data'!AV$8</f>
        <v>1.7999999999999999E-2</v>
      </c>
    </row>
    <row r="41" spans="1:26" ht="15" customHeight="1" x14ac:dyDescent="0.75">
      <c r="A41" s="8" t="s">
        <v>100</v>
      </c>
      <c r="B41" s="65">
        <v>0</v>
      </c>
      <c r="C41" s="40">
        <f>Rollforward!C$43</f>
        <v>0.93759999999999988</v>
      </c>
      <c r="D41" s="40">
        <f>Rollforward!D$43</f>
        <v>0.93755499519999996</v>
      </c>
      <c r="E41" s="40">
        <f>Rollforward!E$43</f>
        <v>0.94220954137105939</v>
      </c>
      <c r="F41" s="40">
        <f>Rollforward!F$43</f>
        <v>0.94215866205582521</v>
      </c>
      <c r="G41" s="40">
        <f>Rollforward!G$43</f>
        <v>0.94680682676133532</v>
      </c>
      <c r="H41" s="40">
        <f>Rollforward!H$43</f>
        <v>0.94675001835172956</v>
      </c>
      <c r="I41" s="40">
        <f>Rollforward!I$43</f>
        <v>10.941994735945404</v>
      </c>
      <c r="J41" s="40">
        <f>Rollforward!J$43</f>
        <v>1.1304038682296624</v>
      </c>
      <c r="K41" s="40">
        <f>Rollforward!K$43</f>
        <v>1.130342826420778</v>
      </c>
      <c r="L41" s="40">
        <f>Rollforward!L$43</f>
        <v>1.1246441731324235</v>
      </c>
      <c r="M41" s="40">
        <f>Rollforward!M$43</f>
        <v>1.1245901902121134</v>
      </c>
      <c r="N41" s="40">
        <f>Rollforward!N$43</f>
        <v>1.1245362098829832</v>
      </c>
      <c r="O41" s="40">
        <f>Rollforward!O$43</f>
        <v>6.1244822321449091</v>
      </c>
      <c r="P41" s="40">
        <f>Rollforward!P$43</f>
        <v>1.2181882569977658</v>
      </c>
      <c r="Q41" s="40">
        <f>Rollforward!Q$43</f>
        <v>1.2181297839614296</v>
      </c>
      <c r="R41" s="40">
        <f>Rollforward!R$43</f>
        <v>1.2180713137317993</v>
      </c>
      <c r="S41" s="40">
        <f>Rollforward!S$43</f>
        <v>1.2180128463087403</v>
      </c>
      <c r="T41" s="40">
        <f>Rollforward!T$43</f>
        <v>1.2179543816921174</v>
      </c>
      <c r="U41" s="40">
        <f>Rollforward!U$43</f>
        <v>1.2178959198817962</v>
      </c>
      <c r="V41" s="40">
        <f>Rollforward!V$43</f>
        <v>1.2178374608776417</v>
      </c>
      <c r="W41" s="40">
        <f>Rollforward!W$43</f>
        <v>0</v>
      </c>
      <c r="X41" s="40">
        <f>Rollforward!X$43</f>
        <v>0</v>
      </c>
      <c r="Y41" s="40">
        <f>Rollforward!Y$43</f>
        <v>0</v>
      </c>
      <c r="Z41" s="40">
        <f>Rollforward!Z$43</f>
        <v>0</v>
      </c>
    </row>
    <row r="42" spans="1:26" x14ac:dyDescent="0.75">
      <c r="A42" s="66" t="s">
        <v>101</v>
      </c>
      <c r="B42" s="67">
        <v>0</v>
      </c>
      <c r="C42" s="68">
        <f t="shared" ref="C42:Z42" si="9">SUM(C38:C41)</f>
        <v>1.0118499999999999</v>
      </c>
      <c r="D42" s="68">
        <f t="shared" si="9"/>
        <v>1.0118022951999999</v>
      </c>
      <c r="E42" s="68">
        <f t="shared" si="9"/>
        <v>1.0164541415006594</v>
      </c>
      <c r="F42" s="68">
        <f t="shared" si="9"/>
        <v>1.0164002249770183</v>
      </c>
      <c r="G42" s="68">
        <f t="shared" si="9"/>
        <v>1.0210453526381307</v>
      </c>
      <c r="H42" s="68">
        <f t="shared" si="9"/>
        <v>1.0209851699169723</v>
      </c>
      <c r="I42" s="68">
        <f t="shared" si="9"/>
        <v>11.016226513401552</v>
      </c>
      <c r="J42" s="68">
        <f t="shared" si="9"/>
        <v>1.2158826091698285</v>
      </c>
      <c r="K42" s="68">
        <f t="shared" si="9"/>
        <v>1.2158179235089333</v>
      </c>
      <c r="L42" s="68">
        <f t="shared" si="9"/>
        <v>1.2101156265653361</v>
      </c>
      <c r="M42" s="68">
        <f t="shared" si="9"/>
        <v>1.2100584050152612</v>
      </c>
      <c r="N42" s="68">
        <f t="shared" si="9"/>
        <v>1.2100011862118205</v>
      </c>
      <c r="O42" s="68">
        <f t="shared" si="9"/>
        <v>6.2099439701548826</v>
      </c>
      <c r="P42" s="68">
        <f t="shared" si="9"/>
        <v>1.3092717568443148</v>
      </c>
      <c r="Q42" s="68">
        <f t="shared" si="9"/>
        <v>1.3092097757999859</v>
      </c>
      <c r="R42" s="68">
        <f t="shared" si="9"/>
        <v>1.3091477977307475</v>
      </c>
      <c r="S42" s="68">
        <f t="shared" si="9"/>
        <v>1.3090858226364563</v>
      </c>
      <c r="T42" s="68">
        <f t="shared" si="9"/>
        <v>1.3090238505169698</v>
      </c>
      <c r="U42" s="68">
        <f t="shared" si="9"/>
        <v>1.3089618813721451</v>
      </c>
      <c r="V42" s="68">
        <f t="shared" si="9"/>
        <v>1.308899915201839</v>
      </c>
      <c r="W42" s="68">
        <f t="shared" si="9"/>
        <v>9.1058947326389694E-2</v>
      </c>
      <c r="X42" s="68">
        <f t="shared" si="9"/>
        <v>8.9685439116653567E-2</v>
      </c>
      <c r="Y42" s="68">
        <f t="shared" si="9"/>
        <v>8.8337752861260485E-2</v>
      </c>
      <c r="Z42" s="68">
        <f t="shared" si="9"/>
        <v>8.7015403107468789E-2</v>
      </c>
    </row>
    <row r="43" spans="1:26" ht="15" customHeight="1" x14ac:dyDescent="0.75">
      <c r="A43" s="15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x14ac:dyDescent="0.75">
      <c r="A44" s="66" t="s">
        <v>102</v>
      </c>
      <c r="B44" s="68">
        <f t="shared" ref="B44:Z44" si="10">B30+B36-B42</f>
        <v>1</v>
      </c>
      <c r="C44" s="68">
        <f t="shared" si="10"/>
        <v>1.4465833333333338</v>
      </c>
      <c r="D44" s="68">
        <f t="shared" si="10"/>
        <v>1.4465610333333334</v>
      </c>
      <c r="E44" s="68">
        <f t="shared" si="10"/>
        <v>1.4465387344037335</v>
      </c>
      <c r="F44" s="68">
        <f t="shared" si="10"/>
        <v>1.4465136493120756</v>
      </c>
      <c r="G44" s="68">
        <f t="shared" si="10"/>
        <v>1.4464885655750126</v>
      </c>
      <c r="H44" s="68">
        <f t="shared" si="10"/>
        <v>1.4464606962610784</v>
      </c>
      <c r="I44" s="68">
        <f t="shared" si="10"/>
        <v>1.4464328286193027</v>
      </c>
      <c r="J44" s="68">
        <f t="shared" si="10"/>
        <v>1.539324415913224</v>
      </c>
      <c r="K44" s="68">
        <f t="shared" si="10"/>
        <v>1.5392943203947644</v>
      </c>
      <c r="L44" s="68">
        <f t="shared" si="10"/>
        <v>1.5392642265014631</v>
      </c>
      <c r="M44" s="68">
        <f t="shared" si="10"/>
        <v>1.5392374778185911</v>
      </c>
      <c r="N44" s="68">
        <f t="shared" si="10"/>
        <v>1.5392107304196558</v>
      </c>
      <c r="O44" s="68">
        <f t="shared" si="10"/>
        <v>1.5391839843045956</v>
      </c>
      <c r="P44" s="68">
        <f t="shared" si="10"/>
        <v>1.5856155728066821</v>
      </c>
      <c r="Q44" s="68">
        <f t="shared" si="10"/>
        <v>1.5855865992591875</v>
      </c>
      <c r="R44" s="68">
        <f t="shared" si="10"/>
        <v>1.585557627102423</v>
      </c>
      <c r="S44" s="68">
        <f t="shared" si="10"/>
        <v>1.5855286563363222</v>
      </c>
      <c r="T44" s="68">
        <f t="shared" si="10"/>
        <v>1.5854996869608182</v>
      </c>
      <c r="U44" s="68">
        <f t="shared" si="10"/>
        <v>1.5854707189758441</v>
      </c>
      <c r="V44" s="68">
        <f t="shared" si="10"/>
        <v>1.5854417523813327</v>
      </c>
      <c r="W44" s="68">
        <f t="shared" si="10"/>
        <v>2.8031917918567379</v>
      </c>
      <c r="X44" s="68">
        <f t="shared" si="10"/>
        <v>2.7689533861698319</v>
      </c>
      <c r="Y44" s="68">
        <f t="shared" si="10"/>
        <v>2.7353586625098383</v>
      </c>
      <c r="Z44" s="68">
        <f t="shared" si="10"/>
        <v>62.29415942521721</v>
      </c>
    </row>
    <row r="45" spans="1:26" ht="15" customHeight="1" x14ac:dyDescent="0.75">
      <c r="A45" s="39" t="s">
        <v>103</v>
      </c>
      <c r="B45" s="40">
        <f>+Assumptions!$B$22</f>
        <v>1</v>
      </c>
      <c r="C45" s="65">
        <f>IF(C$28=Assumptions!$G$40,0,Assumptions!$B$22)</f>
        <v>1</v>
      </c>
      <c r="D45" s="65">
        <f>IF(D$28=Assumptions!$G$40,0,Assumptions!$B$22)</f>
        <v>1</v>
      </c>
      <c r="E45" s="65">
        <f>IF(E$28=Assumptions!$G$40,0,Assumptions!$B$22)</f>
        <v>1</v>
      </c>
      <c r="F45" s="65">
        <f>IF(F$28=Assumptions!$G$40,0,Assumptions!$B$22)</f>
        <v>1</v>
      </c>
      <c r="G45" s="65">
        <f>IF(G$28=Assumptions!$G$40,0,Assumptions!$B$22)</f>
        <v>1</v>
      </c>
      <c r="H45" s="65">
        <f>IF(H$28=Assumptions!$G$40,0,Assumptions!$B$22)</f>
        <v>1</v>
      </c>
      <c r="I45" s="65">
        <f>IF(I$28=Assumptions!$G$40,0,Assumptions!$B$22)</f>
        <v>1</v>
      </c>
      <c r="J45" s="65">
        <f>IF(J$28=Assumptions!$G$40,0,Assumptions!$B$22)</f>
        <v>1</v>
      </c>
      <c r="K45" s="65">
        <f>IF(K$28=Assumptions!$G$40,0,Assumptions!$B$22)</f>
        <v>1</v>
      </c>
      <c r="L45" s="65">
        <f>IF(L$28=Assumptions!$G$40,0,Assumptions!$B$22)</f>
        <v>1</v>
      </c>
      <c r="M45" s="65">
        <f>IF(M$28=Assumptions!$G$40,0,Assumptions!$B$22)</f>
        <v>1</v>
      </c>
      <c r="N45" s="65">
        <f>IF(N$28=Assumptions!$G$40,0,Assumptions!$B$22)</f>
        <v>1</v>
      </c>
      <c r="O45" s="65">
        <f>IF(O$28=Assumptions!$G$40,0,Assumptions!$B$22)</f>
        <v>1</v>
      </c>
      <c r="P45" s="65">
        <f>IF(P$28=Assumptions!$G$40,0,Assumptions!$B$22)</f>
        <v>1</v>
      </c>
      <c r="Q45" s="65">
        <f>IF(Q$28=Assumptions!$G$40,0,Assumptions!$B$22)</f>
        <v>1</v>
      </c>
      <c r="R45" s="65">
        <f>IF(R$28=Assumptions!$G$40,0,Assumptions!$B$22)</f>
        <v>1</v>
      </c>
      <c r="S45" s="65">
        <f>IF(S$28=Assumptions!$G$40,0,Assumptions!$B$22)</f>
        <v>1</v>
      </c>
      <c r="T45" s="65">
        <f>IF(T$28=Assumptions!$G$40,0,Assumptions!$B$22)</f>
        <v>1</v>
      </c>
      <c r="U45" s="65">
        <f>IF(U$28=Assumptions!$G$40,0,Assumptions!$B$22)</f>
        <v>1</v>
      </c>
      <c r="V45" s="65">
        <f>IF(V$28=Assumptions!$G$40,0,Assumptions!$B$22)</f>
        <v>1</v>
      </c>
      <c r="W45" s="65">
        <f>IF(W$28=Assumptions!$G$40,0,Assumptions!$B$22)</f>
        <v>1</v>
      </c>
      <c r="X45" s="65">
        <f>IF(X$28=Assumptions!$G$40,0,Assumptions!$B$22)</f>
        <v>1</v>
      </c>
      <c r="Y45" s="65">
        <f>IF(Y$28=Assumptions!$G$40,0,Assumptions!$B$22)</f>
        <v>1</v>
      </c>
      <c r="Z45" s="65">
        <f>IF(Z$28=Assumptions!$G$40,0,Assumptions!$B$22)</f>
        <v>0</v>
      </c>
    </row>
    <row r="46" spans="1:26" ht="15" customHeight="1" x14ac:dyDescent="0.75">
      <c r="A46" s="66" t="s">
        <v>104</v>
      </c>
      <c r="B46" s="68">
        <f t="shared" ref="B46:Z46" si="11">MAX(0,B44-B45)</f>
        <v>0</v>
      </c>
      <c r="C46" s="68">
        <f t="shared" si="11"/>
        <v>0.44658333333333378</v>
      </c>
      <c r="D46" s="68">
        <f t="shared" si="11"/>
        <v>0.44656103333333341</v>
      </c>
      <c r="E46" s="68">
        <f t="shared" si="11"/>
        <v>0.44653873440373348</v>
      </c>
      <c r="F46" s="68">
        <f t="shared" si="11"/>
        <v>0.4465136493120756</v>
      </c>
      <c r="G46" s="68">
        <f t="shared" si="11"/>
        <v>0.4464885655750126</v>
      </c>
      <c r="H46" s="68">
        <f t="shared" si="11"/>
        <v>0.44646069626107843</v>
      </c>
      <c r="I46" s="68">
        <f t="shared" si="11"/>
        <v>0.44643282861930267</v>
      </c>
      <c r="J46" s="68">
        <f t="shared" si="11"/>
        <v>0.539324415913224</v>
      </c>
      <c r="K46" s="68">
        <f t="shared" si="11"/>
        <v>0.53929432039476444</v>
      </c>
      <c r="L46" s="68">
        <f t="shared" si="11"/>
        <v>0.53926422650146311</v>
      </c>
      <c r="M46" s="68">
        <f t="shared" si="11"/>
        <v>0.5392374778185911</v>
      </c>
      <c r="N46" s="68">
        <f t="shared" si="11"/>
        <v>0.53921073041965584</v>
      </c>
      <c r="O46" s="68">
        <f t="shared" si="11"/>
        <v>0.53918398430459558</v>
      </c>
      <c r="P46" s="68">
        <f t="shared" si="11"/>
        <v>0.58561557280668208</v>
      </c>
      <c r="Q46" s="68">
        <f t="shared" si="11"/>
        <v>0.58558659925918755</v>
      </c>
      <c r="R46" s="68">
        <f t="shared" si="11"/>
        <v>0.58555762710242298</v>
      </c>
      <c r="S46" s="68">
        <f t="shared" si="11"/>
        <v>0.58552865633632223</v>
      </c>
      <c r="T46" s="68">
        <f t="shared" si="11"/>
        <v>0.58549968696081822</v>
      </c>
      <c r="U46" s="68">
        <f t="shared" si="11"/>
        <v>0.58547071897584413</v>
      </c>
      <c r="V46" s="68">
        <f t="shared" si="11"/>
        <v>0.58544175238133267</v>
      </c>
      <c r="W46" s="68">
        <f t="shared" si="11"/>
        <v>1.8031917918567379</v>
      </c>
      <c r="X46" s="68">
        <f t="shared" si="11"/>
        <v>1.7689533861698319</v>
      </c>
      <c r="Y46" s="68">
        <f t="shared" si="11"/>
        <v>1.7353586625098383</v>
      </c>
      <c r="Z46" s="68">
        <f t="shared" si="11"/>
        <v>62.29415942521721</v>
      </c>
    </row>
    <row r="47" spans="1:26" ht="15" customHeight="1" x14ac:dyDescent="0.75">
      <c r="A47" s="66" t="s">
        <v>105</v>
      </c>
      <c r="B47" s="68">
        <f t="shared" ref="B47:Z47" si="12">B44-B46</f>
        <v>1</v>
      </c>
      <c r="C47" s="68">
        <f t="shared" si="12"/>
        <v>1</v>
      </c>
      <c r="D47" s="68">
        <f t="shared" si="12"/>
        <v>1</v>
      </c>
      <c r="E47" s="68">
        <f t="shared" si="12"/>
        <v>1</v>
      </c>
      <c r="F47" s="68">
        <f t="shared" si="12"/>
        <v>1</v>
      </c>
      <c r="G47" s="68">
        <f t="shared" si="12"/>
        <v>1</v>
      </c>
      <c r="H47" s="68">
        <f t="shared" si="12"/>
        <v>1</v>
      </c>
      <c r="I47" s="68">
        <f t="shared" si="12"/>
        <v>1</v>
      </c>
      <c r="J47" s="68">
        <f t="shared" si="12"/>
        <v>1</v>
      </c>
      <c r="K47" s="68">
        <f t="shared" si="12"/>
        <v>1</v>
      </c>
      <c r="L47" s="68">
        <f t="shared" si="12"/>
        <v>1</v>
      </c>
      <c r="M47" s="68">
        <f t="shared" si="12"/>
        <v>1</v>
      </c>
      <c r="N47" s="68">
        <f t="shared" si="12"/>
        <v>1</v>
      </c>
      <c r="O47" s="68">
        <f t="shared" si="12"/>
        <v>1</v>
      </c>
      <c r="P47" s="68">
        <f t="shared" si="12"/>
        <v>1</v>
      </c>
      <c r="Q47" s="68">
        <f t="shared" si="12"/>
        <v>1</v>
      </c>
      <c r="R47" s="68">
        <f t="shared" si="12"/>
        <v>1</v>
      </c>
      <c r="S47" s="68">
        <f t="shared" si="12"/>
        <v>1</v>
      </c>
      <c r="T47" s="68">
        <f t="shared" si="12"/>
        <v>1</v>
      </c>
      <c r="U47" s="68">
        <f t="shared" si="12"/>
        <v>1</v>
      </c>
      <c r="V47" s="68">
        <f t="shared" si="12"/>
        <v>1</v>
      </c>
      <c r="W47" s="68">
        <f t="shared" si="12"/>
        <v>1</v>
      </c>
      <c r="X47" s="68">
        <f t="shared" si="12"/>
        <v>1</v>
      </c>
      <c r="Y47" s="68">
        <f t="shared" si="12"/>
        <v>1</v>
      </c>
      <c r="Z47" s="68">
        <f t="shared" si="12"/>
        <v>0</v>
      </c>
    </row>
    <row r="48" spans="1:26" x14ac:dyDescent="0.75">
      <c r="A48" s="66" t="s">
        <v>106</v>
      </c>
      <c r="B48" s="68">
        <f t="shared" ref="B48:Z48" si="13">B30+B36-B42-B46-B47</f>
        <v>0</v>
      </c>
      <c r="C48" s="68">
        <f t="shared" si="13"/>
        <v>0</v>
      </c>
      <c r="D48" s="68">
        <f t="shared" si="13"/>
        <v>0</v>
      </c>
      <c r="E48" s="68">
        <f t="shared" si="13"/>
        <v>0</v>
      </c>
      <c r="F48" s="68">
        <f t="shared" si="13"/>
        <v>0</v>
      </c>
      <c r="G48" s="68">
        <f t="shared" si="13"/>
        <v>0</v>
      </c>
      <c r="H48" s="68">
        <f t="shared" si="13"/>
        <v>0</v>
      </c>
      <c r="I48" s="68">
        <f t="shared" si="13"/>
        <v>0</v>
      </c>
      <c r="J48" s="68">
        <f t="shared" si="13"/>
        <v>0</v>
      </c>
      <c r="K48" s="68">
        <f t="shared" si="13"/>
        <v>0</v>
      </c>
      <c r="L48" s="68">
        <f t="shared" si="13"/>
        <v>0</v>
      </c>
      <c r="M48" s="68">
        <f t="shared" si="13"/>
        <v>0</v>
      </c>
      <c r="N48" s="68">
        <f t="shared" si="13"/>
        <v>0</v>
      </c>
      <c r="O48" s="68">
        <f t="shared" si="13"/>
        <v>0</v>
      </c>
      <c r="P48" s="68">
        <f t="shared" si="13"/>
        <v>0</v>
      </c>
      <c r="Q48" s="68">
        <f t="shared" si="13"/>
        <v>0</v>
      </c>
      <c r="R48" s="68">
        <f t="shared" si="13"/>
        <v>0</v>
      </c>
      <c r="S48" s="68">
        <f t="shared" si="13"/>
        <v>0</v>
      </c>
      <c r="T48" s="68">
        <f t="shared" si="13"/>
        <v>0</v>
      </c>
      <c r="U48" s="68">
        <f t="shared" si="13"/>
        <v>0</v>
      </c>
      <c r="V48" s="68">
        <f t="shared" si="13"/>
        <v>0</v>
      </c>
      <c r="W48" s="68">
        <f t="shared" si="13"/>
        <v>0</v>
      </c>
      <c r="X48" s="68">
        <f t="shared" si="13"/>
        <v>0</v>
      </c>
      <c r="Y48" s="68">
        <f t="shared" si="13"/>
        <v>0</v>
      </c>
      <c r="Z48" s="68">
        <f t="shared" si="13"/>
        <v>0</v>
      </c>
    </row>
    <row r="49" spans="1:27" x14ac:dyDescent="0.75">
      <c r="A49" s="66" t="s">
        <v>107</v>
      </c>
      <c r="B49" s="68">
        <f>B46*Assumptions!$B$16</f>
        <v>0</v>
      </c>
      <c r="C49" s="68">
        <f>C46*Assumptions!$B$16</f>
        <v>0.39404411764705921</v>
      </c>
      <c r="D49" s="68">
        <f>D46*Assumptions!$B$16</f>
        <v>0.39402444117647062</v>
      </c>
      <c r="E49" s="68">
        <f>E46*Assumptions!$B$16</f>
        <v>0.39400476565035308</v>
      </c>
      <c r="F49" s="68">
        <f>F46*Assumptions!$B$16</f>
        <v>0.39398263174594905</v>
      </c>
      <c r="G49" s="68">
        <f>G46*Assumptions!$B$16</f>
        <v>0.39396049903677582</v>
      </c>
      <c r="H49" s="68">
        <f>H46*Assumptions!$B$16</f>
        <v>0.3939359084656574</v>
      </c>
      <c r="I49" s="68">
        <f>I46*Assumptions!$B$16</f>
        <v>0.39391131936997292</v>
      </c>
      <c r="J49" s="68">
        <f>J46*Assumptions!$B$16</f>
        <v>0.47587448462931525</v>
      </c>
      <c r="K49" s="68">
        <f>K46*Assumptions!$B$16</f>
        <v>0.47584792976008627</v>
      </c>
      <c r="L49" s="68">
        <f>L46*Assumptions!$B$16</f>
        <v>0.47582137632482036</v>
      </c>
      <c r="M49" s="68">
        <f>M46*Assumptions!$B$16</f>
        <v>0.47579777454581568</v>
      </c>
      <c r="N49" s="68">
        <f>N46*Assumptions!$B$16</f>
        <v>0.47577417389969634</v>
      </c>
      <c r="O49" s="68">
        <f>O46*Assumptions!$B$16</f>
        <v>0.47575057438640783</v>
      </c>
      <c r="P49" s="68">
        <f>P46*Assumptions!$B$16</f>
        <v>0.51671962306471952</v>
      </c>
      <c r="Q49" s="68">
        <f>Q46*Assumptions!$B$16</f>
        <v>0.51669405816987135</v>
      </c>
      <c r="R49" s="68">
        <f>R46*Assumptions!$B$16</f>
        <v>0.51666849450213792</v>
      </c>
      <c r="S49" s="68">
        <f>S46*Assumptions!$B$16</f>
        <v>0.51664293206146072</v>
      </c>
      <c r="T49" s="68">
        <f>T46*Assumptions!$B$16</f>
        <v>0.51661737084778081</v>
      </c>
      <c r="U49" s="68">
        <f>U46*Assumptions!$B$16</f>
        <v>0.51659181086103889</v>
      </c>
      <c r="V49" s="68">
        <f>V46*Assumptions!$B$16</f>
        <v>0.5165662521011759</v>
      </c>
      <c r="W49" s="68">
        <f>W46*Assumptions!$B$16</f>
        <v>1.5910515810500629</v>
      </c>
      <c r="X49" s="68">
        <f>X46*Assumptions!$B$16</f>
        <v>1.560841223091028</v>
      </c>
      <c r="Y49" s="68">
        <f>Y46*Assumptions!$B$16</f>
        <v>1.531198819861622</v>
      </c>
      <c r="Z49" s="68">
        <f>Z46*Assumptions!$B$16</f>
        <v>54.965434786956358</v>
      </c>
    </row>
    <row r="50" spans="1:27" x14ac:dyDescent="0.75">
      <c r="A50" s="66" t="s">
        <v>108</v>
      </c>
      <c r="B50" s="68">
        <f>B46*Assumptions!$B$17</f>
        <v>0</v>
      </c>
      <c r="C50" s="68">
        <f>C46*Assumptions!$B$17</f>
        <v>5.2539215686274558E-2</v>
      </c>
      <c r="D50" s="68">
        <f>D46*Assumptions!$B$17</f>
        <v>5.2536592156862752E-2</v>
      </c>
      <c r="E50" s="68">
        <f>E46*Assumptions!$B$17</f>
        <v>5.2533968753380407E-2</v>
      </c>
      <c r="F50" s="68">
        <f>F46*Assumptions!$B$17</f>
        <v>5.2531017566126541E-2</v>
      </c>
      <c r="G50" s="68">
        <f>G46*Assumptions!$B$17</f>
        <v>5.2528066538236773E-2</v>
      </c>
      <c r="H50" s="68">
        <f>H46*Assumptions!$B$17</f>
        <v>5.2524787795420989E-2</v>
      </c>
      <c r="I50" s="68">
        <f>I46*Assumptions!$B$17</f>
        <v>5.2521509249329724E-2</v>
      </c>
      <c r="J50" s="68">
        <f>J46*Assumptions!$B$17</f>
        <v>6.3449931283908703E-2</v>
      </c>
      <c r="K50" s="68">
        <f>K46*Assumptions!$B$17</f>
        <v>6.3446390634678163E-2</v>
      </c>
      <c r="L50" s="68">
        <f>L46*Assumptions!$B$17</f>
        <v>6.3442850176642723E-2</v>
      </c>
      <c r="M50" s="68">
        <f>M46*Assumptions!$B$17</f>
        <v>6.3439703272775427E-2</v>
      </c>
      <c r="N50" s="68">
        <f>N46*Assumptions!$B$17</f>
        <v>6.3436556519959511E-2</v>
      </c>
      <c r="O50" s="68">
        <f>O46*Assumptions!$B$17</f>
        <v>6.3433409918187716E-2</v>
      </c>
      <c r="P50" s="68">
        <f>P46*Assumptions!$B$17</f>
        <v>6.88959497419626E-2</v>
      </c>
      <c r="Q50" s="68">
        <f>Q46*Assumptions!$B$17</f>
        <v>6.8892541089316181E-2</v>
      </c>
      <c r="R50" s="68">
        <f>R46*Assumptions!$B$17</f>
        <v>6.888913260028505E-2</v>
      </c>
      <c r="S50" s="68">
        <f>S46*Assumptions!$B$17</f>
        <v>6.8885724274861435E-2</v>
      </c>
      <c r="T50" s="68">
        <f>T46*Assumptions!$B$17</f>
        <v>6.888231611303744E-2</v>
      </c>
      <c r="U50" s="68">
        <f>U46*Assumptions!$B$17</f>
        <v>6.8878908114805196E-2</v>
      </c>
      <c r="V50" s="68">
        <f>V46*Assumptions!$B$17</f>
        <v>6.8875500280156779E-2</v>
      </c>
      <c r="W50" s="68">
        <f>W46*Assumptions!$B$17</f>
        <v>0.21214021080667506</v>
      </c>
      <c r="X50" s="68">
        <f>X46*Assumptions!$B$17</f>
        <v>0.20811216307880376</v>
      </c>
      <c r="Y50" s="68">
        <f>Y46*Assumptions!$B$17</f>
        <v>0.20415984264821627</v>
      </c>
      <c r="Z50" s="68">
        <f>Z46*Assumptions!$B$17</f>
        <v>7.328724638260848</v>
      </c>
    </row>
    <row r="51" spans="1:27" ht="19.5" customHeight="1" x14ac:dyDescent="0.95">
      <c r="A51" s="48" t="s">
        <v>90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</row>
    <row r="52" spans="1:27" x14ac:dyDescent="0.75">
      <c r="A52" s="6" t="s">
        <v>91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7" x14ac:dyDescent="0.75">
      <c r="A53" s="15"/>
      <c r="B53" s="63" t="str">
        <f>+Rollforward!B53</f>
        <v>Close / M0</v>
      </c>
      <c r="C53" s="63">
        <f>+Rollforward!C$52</f>
        <v>1</v>
      </c>
      <c r="D53" s="63">
        <f>+Rollforward!D$52</f>
        <v>2</v>
      </c>
      <c r="E53" s="63">
        <f>+Rollforward!E$52</f>
        <v>3</v>
      </c>
      <c r="F53" s="63">
        <f>+Rollforward!F$52</f>
        <v>4</v>
      </c>
      <c r="G53" s="63">
        <f>+Rollforward!G$52</f>
        <v>5</v>
      </c>
      <c r="H53" s="63">
        <f>+Rollforward!H$52</f>
        <v>6</v>
      </c>
      <c r="I53" s="63">
        <f>+Rollforward!I$52</f>
        <v>7</v>
      </c>
      <c r="J53" s="63">
        <f>+Rollforward!J$52</f>
        <v>8</v>
      </c>
      <c r="K53" s="63">
        <f>+Rollforward!K$52</f>
        <v>9</v>
      </c>
      <c r="L53" s="63">
        <f>+Rollforward!L$52</f>
        <v>10</v>
      </c>
      <c r="M53" s="63">
        <f>+Rollforward!M$52</f>
        <v>11</v>
      </c>
      <c r="N53" s="63">
        <f>+Rollforward!N$52</f>
        <v>12</v>
      </c>
      <c r="O53" s="63">
        <f>+Rollforward!O$52</f>
        <v>13</v>
      </c>
      <c r="P53" s="63">
        <f>+Rollforward!P$52</f>
        <v>14</v>
      </c>
      <c r="Q53" s="63">
        <f>+Rollforward!Q$52</f>
        <v>15</v>
      </c>
      <c r="R53" s="63">
        <f>+Rollforward!R$52</f>
        <v>16</v>
      </c>
      <c r="S53" s="63">
        <f>+Rollforward!S$52</f>
        <v>17</v>
      </c>
      <c r="T53" s="63">
        <f>+Rollforward!T$52</f>
        <v>18</v>
      </c>
      <c r="U53" s="63">
        <f>+Rollforward!U$52</f>
        <v>19</v>
      </c>
      <c r="V53" s="63">
        <f>+Rollforward!V$52</f>
        <v>20</v>
      </c>
      <c r="W53" s="63">
        <f>+Rollforward!W$52</f>
        <v>21</v>
      </c>
      <c r="X53" s="63">
        <f>+Rollforward!X$52</f>
        <v>22</v>
      </c>
      <c r="AA53" s="63"/>
    </row>
    <row r="54" spans="1:27" x14ac:dyDescent="0.75">
      <c r="A54" s="15"/>
      <c r="B54" s="63">
        <f>+Rollforward!B54</f>
        <v>0</v>
      </c>
      <c r="C54" s="64">
        <f>+Rollforward!C$53</f>
        <v>46053</v>
      </c>
      <c r="D54" s="64">
        <f>+Rollforward!D$53</f>
        <v>46081</v>
      </c>
      <c r="E54" s="64">
        <f>+Rollforward!E$53</f>
        <v>46112</v>
      </c>
      <c r="F54" s="64">
        <f>+Rollforward!F$53</f>
        <v>46142</v>
      </c>
      <c r="G54" s="64">
        <f>+Rollforward!G$53</f>
        <v>46173</v>
      </c>
      <c r="H54" s="64">
        <f>+Rollforward!H$53</f>
        <v>46203</v>
      </c>
      <c r="I54" s="64">
        <f>+Rollforward!I$53</f>
        <v>46234</v>
      </c>
      <c r="J54" s="64">
        <f>+Rollforward!J$53</f>
        <v>46265</v>
      </c>
      <c r="K54" s="64">
        <f>+Rollforward!K$53</f>
        <v>46295</v>
      </c>
      <c r="L54" s="64">
        <f>+Rollforward!L$53</f>
        <v>46326</v>
      </c>
      <c r="M54" s="64">
        <f>+Rollforward!M$53</f>
        <v>46356</v>
      </c>
      <c r="N54" s="64">
        <f>+Rollforward!N$53</f>
        <v>46387</v>
      </c>
      <c r="O54" s="64">
        <f>+Rollforward!O$53</f>
        <v>46418</v>
      </c>
      <c r="P54" s="64">
        <f>+Rollforward!P$53</f>
        <v>46446</v>
      </c>
      <c r="Q54" s="64">
        <f>+Rollforward!Q$53</f>
        <v>46477</v>
      </c>
      <c r="R54" s="64">
        <f>+Rollforward!R$53</f>
        <v>46507</v>
      </c>
      <c r="S54" s="64">
        <f>+Rollforward!S$53</f>
        <v>46538</v>
      </c>
      <c r="T54" s="64">
        <f>+Rollforward!T$53</f>
        <v>46568</v>
      </c>
      <c r="U54" s="64">
        <f>+Rollforward!U$53</f>
        <v>46599</v>
      </c>
      <c r="V54" s="64">
        <f>+Rollforward!V$53</f>
        <v>46630</v>
      </c>
      <c r="W54" s="64">
        <f>+Rollforward!W$53</f>
        <v>46660</v>
      </c>
      <c r="X54" s="64">
        <f>+Rollforward!X$53</f>
        <v>46691</v>
      </c>
      <c r="AA54" s="64"/>
    </row>
    <row r="55" spans="1:27" x14ac:dyDescent="0.75">
      <c r="A55" s="39" t="s">
        <v>92</v>
      </c>
      <c r="B55" s="40">
        <f>+Sources_Uses!$B$7</f>
        <v>1</v>
      </c>
      <c r="C55" s="65">
        <f t="shared" ref="C55:X55" si="14">B72</f>
        <v>1</v>
      </c>
      <c r="D55" s="65">
        <f t="shared" si="14"/>
        <v>1</v>
      </c>
      <c r="E55" s="65">
        <f t="shared" si="14"/>
        <v>1</v>
      </c>
      <c r="F55" s="65">
        <f t="shared" si="14"/>
        <v>1</v>
      </c>
      <c r="G55" s="65">
        <f t="shared" si="14"/>
        <v>1</v>
      </c>
      <c r="H55" s="65">
        <f t="shared" si="14"/>
        <v>1</v>
      </c>
      <c r="I55" s="65">
        <f t="shared" si="14"/>
        <v>1</v>
      </c>
      <c r="J55" s="65">
        <f t="shared" si="14"/>
        <v>1</v>
      </c>
      <c r="K55" s="65">
        <f t="shared" si="14"/>
        <v>1</v>
      </c>
      <c r="L55" s="65">
        <f t="shared" si="14"/>
        <v>1</v>
      </c>
      <c r="M55" s="65">
        <f t="shared" si="14"/>
        <v>1</v>
      </c>
      <c r="N55" s="65">
        <f t="shared" si="14"/>
        <v>1</v>
      </c>
      <c r="O55" s="65">
        <f t="shared" si="14"/>
        <v>1</v>
      </c>
      <c r="P55" s="65">
        <f t="shared" si="14"/>
        <v>1</v>
      </c>
      <c r="Q55" s="65">
        <f t="shared" si="14"/>
        <v>1</v>
      </c>
      <c r="R55" s="65">
        <f t="shared" si="14"/>
        <v>1</v>
      </c>
      <c r="S55" s="65">
        <f t="shared" si="14"/>
        <v>1</v>
      </c>
      <c r="T55" s="65">
        <f t="shared" si="14"/>
        <v>1</v>
      </c>
      <c r="U55" s="65">
        <f t="shared" si="14"/>
        <v>1</v>
      </c>
      <c r="V55" s="65">
        <f t="shared" si="14"/>
        <v>1</v>
      </c>
      <c r="W55" s="65">
        <f t="shared" si="14"/>
        <v>1</v>
      </c>
      <c r="X55" s="65">
        <f t="shared" si="14"/>
        <v>1</v>
      </c>
    </row>
    <row r="56" spans="1:27" x14ac:dyDescent="0.75">
      <c r="A56" s="39" t="s">
        <v>76</v>
      </c>
      <c r="B56" s="65">
        <v>0</v>
      </c>
      <c r="C56" s="40">
        <f>+Rollforward!C$56</f>
        <v>0.44791666666666669</v>
      </c>
      <c r="D56" s="40">
        <f>+Rollforward!D$56</f>
        <v>0.44568066666666667</v>
      </c>
      <c r="E56" s="40">
        <f>+Rollforward!E$56</f>
        <v>0.440229100752</v>
      </c>
      <c r="F56" s="40">
        <f>+Rollforward!F$56</f>
        <v>0.43479491273231724</v>
      </c>
      <c r="G56" s="40">
        <f>+Rollforward!G$56</f>
        <v>0.42937910729932355</v>
      </c>
      <c r="H56" s="40">
        <f>+Rollforward!H$56</f>
        <v>0.42398267067878564</v>
      </c>
      <c r="I56" s="40">
        <f>+Rollforward!I$56</f>
        <v>0.41338310391181593</v>
      </c>
      <c r="J56" s="40">
        <f>+Rollforward!J$56</f>
        <v>0.40296584969323823</v>
      </c>
      <c r="K56" s="40">
        <f>+Rollforward!K$56</f>
        <v>0.39277081369599925</v>
      </c>
      <c r="L56" s="40">
        <f>+Rollforward!L$56</f>
        <v>0.38279443502812094</v>
      </c>
      <c r="M56" s="40">
        <f>+Rollforward!M$56</f>
        <v>0.37303317693490384</v>
      </c>
      <c r="N56" s="40">
        <f>+Rollforward!N$56</f>
        <v>0.36348352760537028</v>
      </c>
      <c r="O56" s="40">
        <f>+Rollforward!O$56</f>
        <v>0.35417834929867281</v>
      </c>
      <c r="P56" s="40">
        <f>+Rollforward!P$56</f>
        <v>0.34514680139155662</v>
      </c>
      <c r="Q56" s="40">
        <f>+Rollforward!Q$56</f>
        <v>0.33638007263621111</v>
      </c>
      <c r="R56" s="40">
        <f>+Rollforward!R$56</f>
        <v>0.32786965679851493</v>
      </c>
      <c r="S56" s="40">
        <f>+Rollforward!S$56</f>
        <v>0.31960734144719238</v>
      </c>
      <c r="T56" s="40">
        <f>+Rollforward!T$56</f>
        <v>0.31158519717686778</v>
      </c>
      <c r="U56" s="40">
        <f>+Rollforward!U$56</f>
        <v>0.30379556724744611</v>
      </c>
      <c r="V56" s="40">
        <f>+Rollforward!V$56</f>
        <v>0.29623105762298468</v>
      </c>
      <c r="W56" s="40">
        <f>+Rollforward!W$56</f>
        <v>0.28888452739393472</v>
      </c>
      <c r="X56" s="40">
        <f>+Rollforward!X$56</f>
        <v>0.28174907956730455</v>
      </c>
    </row>
    <row r="57" spans="1:27" x14ac:dyDescent="0.75">
      <c r="A57" s="39" t="s">
        <v>93</v>
      </c>
      <c r="B57" s="65">
        <v>0</v>
      </c>
      <c r="C57" s="40">
        <f>+Rollforward!C$58</f>
        <v>1.0999999999999999</v>
      </c>
      <c r="D57" s="40">
        <f>+Rollforward!D$58</f>
        <v>1.0945087999999998</v>
      </c>
      <c r="E57" s="40">
        <f>+Rollforward!E$58</f>
        <v>1.0811207683583999</v>
      </c>
      <c r="F57" s="40">
        <f>+Rollforward!F$58</f>
        <v>1.0677754135937838</v>
      </c>
      <c r="G57" s="40">
        <f>+Rollforward!G$58</f>
        <v>1.0544752030420594</v>
      </c>
      <c r="H57" s="40">
        <f>+Rollforward!H$58</f>
        <v>1.0412225586902268</v>
      </c>
      <c r="I57" s="40">
        <f>+Rollforward!I$58</f>
        <v>1.0151919947229713</v>
      </c>
      <c r="J57" s="40">
        <f>+Rollforward!J$58</f>
        <v>0.98960915645595238</v>
      </c>
      <c r="K57" s="40">
        <f>+Rollforward!K$58</f>
        <v>0.96457204479761671</v>
      </c>
      <c r="L57" s="40">
        <f>+Rollforward!L$58</f>
        <v>0.94007191485975738</v>
      </c>
      <c r="M57" s="40">
        <f>+Rollforward!M$58</f>
        <v>0.91610008103083351</v>
      </c>
      <c r="N57" s="40">
        <f>+Rollforward!N$58</f>
        <v>0.89264791895644424</v>
      </c>
      <c r="O57" s="40">
        <f>+Rollforward!O$58</f>
        <v>0.86979613223115926</v>
      </c>
      <c r="P57" s="40">
        <f>+Rollforward!P$58</f>
        <v>0.84761633085926469</v>
      </c>
      <c r="Q57" s="40">
        <f>+Rollforward!Q$58</f>
        <v>0.82608687605543929</v>
      </c>
      <c r="R57" s="40">
        <f>+Rollforward!R$58</f>
        <v>0.80518687809123668</v>
      </c>
      <c r="S57" s="40">
        <f>+Rollforward!S$58</f>
        <v>0.78489616876333757</v>
      </c>
      <c r="T57" s="40">
        <f>+Rollforward!T$58</f>
        <v>0.7651952749273776</v>
      </c>
      <c r="U57" s="40">
        <f>+Rollforward!U$58</f>
        <v>0.74606539305419317</v>
      </c>
      <c r="V57" s="40">
        <f>+Rollforward!V$58</f>
        <v>0.72748836476714374</v>
      </c>
      <c r="W57" s="40">
        <f>+Rollforward!W$58</f>
        <v>0.70944665332091872</v>
      </c>
      <c r="X57" s="40">
        <f>+Rollforward!X$58</f>
        <v>0.69192332098389209</v>
      </c>
    </row>
    <row r="58" spans="1:27" x14ac:dyDescent="0.75">
      <c r="A58" s="39" t="s">
        <v>94</v>
      </c>
      <c r="B58" s="65">
        <v>0</v>
      </c>
      <c r="C58" s="40">
        <f>+Rollforward!C$62</f>
        <v>8.8000000000000009E-2</v>
      </c>
      <c r="D58" s="40">
        <f>+Rollforward!D$62</f>
        <v>9.6316774399999999E-2</v>
      </c>
      <c r="E58" s="40">
        <f>+Rollforward!E$62</f>
        <v>0.10378759376240639</v>
      </c>
      <c r="F58" s="40">
        <f>+Rollforward!F$62</f>
        <v>0.11104864301375351</v>
      </c>
      <c r="G58" s="40">
        <f>+Rollforward!G$62</f>
        <v>0.11810122274071067</v>
      </c>
      <c r="H58" s="40">
        <f>+Rollforward!H$62</f>
        <v>0.12494670704282725</v>
      </c>
      <c r="I58" s="40">
        <f>+Rollforward!I$62</f>
        <v>0.12994457532454032</v>
      </c>
      <c r="J58" s="40">
        <f>+Rollforward!J$62</f>
        <v>0.13062840865218572</v>
      </c>
      <c r="K58" s="40">
        <f>+Rollforward!K$62</f>
        <v>0.13118179809247588</v>
      </c>
      <c r="L58" s="40">
        <f>+Rollforward!L$62</f>
        <v>0.13161006808036604</v>
      </c>
      <c r="M58" s="40">
        <f>+Rollforward!M$62</f>
        <v>0.13191841166844004</v>
      </c>
      <c r="N58" s="40">
        <f>+Rollforward!N$62</f>
        <v>0.12854130032972796</v>
      </c>
      <c r="O58" s="40">
        <f>+Rollforward!O$62</f>
        <v>0.12177145851236232</v>
      </c>
      <c r="P58" s="40">
        <f>+Rollforward!P$62</f>
        <v>0.11527582099686</v>
      </c>
      <c r="Q58" s="40">
        <f>+Rollforward!Q$62</f>
        <v>0.10904346763931799</v>
      </c>
      <c r="R58" s="40">
        <f>+Rollforward!R$62</f>
        <v>0.10306392039567831</v>
      </c>
      <c r="S58" s="40">
        <f>+Rollforward!S$62</f>
        <v>9.7327124926653852E-2</v>
      </c>
      <c r="T58" s="40">
        <f>+Rollforward!T$62</f>
        <v>9.1823432991285328E-2</v>
      </c>
      <c r="U58" s="40">
        <f>+Rollforward!U$62</f>
        <v>8.6543585594286404E-2</v>
      </c>
      <c r="V58" s="40">
        <f>+Rollforward!V$62</f>
        <v>8.1478696853920105E-2</v>
      </c>
      <c r="W58" s="40">
        <f>+Rollforward!W$62</f>
        <v>7.6620238558659223E-2</v>
      </c>
      <c r="X58" s="40">
        <f>+Rollforward!X$62</f>
        <v>7.196002538232478E-2</v>
      </c>
    </row>
    <row r="59" spans="1:27" x14ac:dyDescent="0.75">
      <c r="A59" s="39" t="s">
        <v>95</v>
      </c>
      <c r="B59" s="65">
        <v>0</v>
      </c>
      <c r="C59" s="40">
        <f>+Rollforward!C$66</f>
        <v>0</v>
      </c>
      <c r="D59" s="40">
        <f>+Rollforward!D$66</f>
        <v>0</v>
      </c>
      <c r="E59" s="40">
        <f>+Rollforward!E$66</f>
        <v>0</v>
      </c>
      <c r="F59" s="40">
        <f>+Rollforward!F$66</f>
        <v>0</v>
      </c>
      <c r="G59" s="40">
        <f>+Rollforward!G$66</f>
        <v>0</v>
      </c>
      <c r="H59" s="40">
        <f>+Rollforward!H$66</f>
        <v>0</v>
      </c>
      <c r="I59" s="40">
        <f>+Rollforward!I$66</f>
        <v>0</v>
      </c>
      <c r="J59" s="40">
        <f>+Rollforward!J$66</f>
        <v>0</v>
      </c>
      <c r="K59" s="40">
        <f>+Rollforward!K$66</f>
        <v>0</v>
      </c>
      <c r="L59" s="40">
        <f>+Rollforward!L$66</f>
        <v>0</v>
      </c>
      <c r="M59" s="40">
        <f>+Rollforward!M$66</f>
        <v>0</v>
      </c>
      <c r="N59" s="40">
        <f>+Rollforward!N$66</f>
        <v>0</v>
      </c>
      <c r="O59" s="40">
        <f>+Rollforward!O$66</f>
        <v>0</v>
      </c>
      <c r="P59" s="40">
        <f>+Rollforward!P$66</f>
        <v>0</v>
      </c>
      <c r="Q59" s="40">
        <f>+Rollforward!Q$66</f>
        <v>0</v>
      </c>
      <c r="R59" s="40">
        <f>+Rollforward!R$66</f>
        <v>0</v>
      </c>
      <c r="S59" s="40">
        <f>+Rollforward!S$66</f>
        <v>0</v>
      </c>
      <c r="T59" s="40">
        <f>+Rollforward!T$66</f>
        <v>0</v>
      </c>
      <c r="U59" s="40">
        <f>+Rollforward!U$66</f>
        <v>0</v>
      </c>
      <c r="V59" s="40">
        <f>+Rollforward!V$66</f>
        <v>0</v>
      </c>
      <c r="W59" s="40">
        <f>+Rollforward!W$66</f>
        <v>0</v>
      </c>
      <c r="X59" s="40">
        <f>+Rollforward!X$66</f>
        <v>0</v>
      </c>
    </row>
    <row r="60" spans="1:27" ht="15" customHeight="1" x14ac:dyDescent="0.75">
      <c r="A60" s="39" t="s">
        <v>87</v>
      </c>
      <c r="B60" s="65">
        <v>0</v>
      </c>
      <c r="C60" s="40">
        <f>+Rollforward!C$70</f>
        <v>0</v>
      </c>
      <c r="D60" s="40">
        <f>+Rollforward!D$70</f>
        <v>0</v>
      </c>
      <c r="E60" s="40">
        <f>+Rollforward!E$70</f>
        <v>0</v>
      </c>
      <c r="F60" s="40">
        <f>+Rollforward!F$70</f>
        <v>0</v>
      </c>
      <c r="G60" s="40">
        <f>+Rollforward!G$70</f>
        <v>0</v>
      </c>
      <c r="H60" s="40">
        <f>+Rollforward!H$70</f>
        <v>0</v>
      </c>
      <c r="I60" s="40">
        <f>+Rollforward!I$70</f>
        <v>0</v>
      </c>
      <c r="J60" s="40">
        <f>+Rollforward!J$70</f>
        <v>0</v>
      </c>
      <c r="K60" s="40">
        <f>+Rollforward!K$70</f>
        <v>0</v>
      </c>
      <c r="L60" s="40">
        <f>+Rollforward!L$70</f>
        <v>0</v>
      </c>
      <c r="M60" s="40">
        <f>+Rollforward!M$70</f>
        <v>0</v>
      </c>
      <c r="N60" s="40">
        <f>+Rollforward!N$70</f>
        <v>0</v>
      </c>
      <c r="O60" s="40">
        <f>+Rollforward!O$70</f>
        <v>0</v>
      </c>
      <c r="P60" s="40">
        <f>+Rollforward!P$70</f>
        <v>0</v>
      </c>
      <c r="Q60" s="40">
        <f>+Rollforward!Q$70</f>
        <v>0</v>
      </c>
      <c r="R60" s="40">
        <f>+Rollforward!R$70</f>
        <v>0</v>
      </c>
      <c r="S60" s="40">
        <f>+Rollforward!S$70</f>
        <v>0</v>
      </c>
      <c r="T60" s="40">
        <f>+Rollforward!T$70</f>
        <v>0</v>
      </c>
      <c r="U60" s="40">
        <f>+Rollforward!U$70</f>
        <v>0</v>
      </c>
      <c r="V60" s="40">
        <f>+Rollforward!V$70</f>
        <v>0</v>
      </c>
      <c r="W60" s="40">
        <f>+Rollforward!W$70</f>
        <v>0</v>
      </c>
      <c r="X60" s="40">
        <f>+Rollforward!X$70</f>
        <v>29.910429868431638</v>
      </c>
    </row>
    <row r="61" spans="1:27" x14ac:dyDescent="0.75">
      <c r="A61" s="66" t="s">
        <v>96</v>
      </c>
      <c r="B61" s="67">
        <v>0</v>
      </c>
      <c r="C61" s="68">
        <f t="shared" ref="C61:X61" si="15">SUM(C56:C60)</f>
        <v>1.6359166666666667</v>
      </c>
      <c r="D61" s="68">
        <f t="shared" si="15"/>
        <v>1.6365062410666664</v>
      </c>
      <c r="E61" s="68">
        <f t="shared" si="15"/>
        <v>1.6251374628728064</v>
      </c>
      <c r="F61" s="68">
        <f t="shared" si="15"/>
        <v>1.6136189693398546</v>
      </c>
      <c r="G61" s="68">
        <f t="shared" si="15"/>
        <v>1.6019555330820938</v>
      </c>
      <c r="H61" s="68">
        <f t="shared" si="15"/>
        <v>1.5901519364118397</v>
      </c>
      <c r="I61" s="68">
        <f t="shared" si="15"/>
        <v>1.5585196739593274</v>
      </c>
      <c r="J61" s="68">
        <f t="shared" si="15"/>
        <v>1.5232034148013764</v>
      </c>
      <c r="K61" s="68">
        <f t="shared" si="15"/>
        <v>1.4885246565860919</v>
      </c>
      <c r="L61" s="68">
        <f t="shared" si="15"/>
        <v>1.4544764179682443</v>
      </c>
      <c r="M61" s="68">
        <f t="shared" si="15"/>
        <v>1.4210516696341773</v>
      </c>
      <c r="N61" s="68">
        <f t="shared" si="15"/>
        <v>1.3846727468915425</v>
      </c>
      <c r="O61" s="68">
        <f t="shared" si="15"/>
        <v>1.3457459400421945</v>
      </c>
      <c r="P61" s="68">
        <f t="shared" si="15"/>
        <v>1.3080389532476813</v>
      </c>
      <c r="Q61" s="68">
        <f t="shared" si="15"/>
        <v>1.2715104163309683</v>
      </c>
      <c r="R61" s="68">
        <f t="shared" si="15"/>
        <v>1.2361204552854299</v>
      </c>
      <c r="S61" s="68">
        <f t="shared" si="15"/>
        <v>1.2018306351371839</v>
      </c>
      <c r="T61" s="68">
        <f t="shared" si="15"/>
        <v>1.1686039050955306</v>
      </c>
      <c r="U61" s="68">
        <f t="shared" si="15"/>
        <v>1.1364045458959258</v>
      </c>
      <c r="V61" s="68">
        <f t="shared" si="15"/>
        <v>1.1051981192440485</v>
      </c>
      <c r="W61" s="68">
        <f t="shared" si="15"/>
        <v>1.0749514192735126</v>
      </c>
      <c r="X61" s="68">
        <f t="shared" si="15"/>
        <v>30.956062294365161</v>
      </c>
    </row>
    <row r="62" spans="1:27" x14ac:dyDescent="0.75">
      <c r="A62" s="1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spans="1:27" x14ac:dyDescent="0.75">
      <c r="A63" s="39" t="s">
        <v>97</v>
      </c>
      <c r="B63" s="65">
        <v>0</v>
      </c>
      <c r="C63" s="18">
        <f>Rollforward!C$54*Assumptions!$H$31/12</f>
        <v>4.1666666666666664E-2</v>
      </c>
      <c r="D63" s="18">
        <f>Rollforward!D$54*Assumptions!$H$31/12</f>
        <v>4.1458666666666665E-2</v>
      </c>
      <c r="E63" s="18">
        <f>Rollforward!E$54*Assumptions!$H$31/12</f>
        <v>4.0951544255999998E-2</v>
      </c>
      <c r="F63" s="18">
        <f>Rollforward!F$54*Assumptions!$H$31/12</f>
        <v>4.0446038393703934E-2</v>
      </c>
      <c r="G63" s="18">
        <f>Rollforward!G$54*Assumptions!$H$31/12</f>
        <v>3.9942242539471956E-2</v>
      </c>
      <c r="H63" s="18">
        <f>Rollforward!H$54*Assumptions!$H$31/12</f>
        <v>3.9440248435235872E-2</v>
      </c>
      <c r="I63" s="18">
        <f>Rollforward!I$54*Assumptions!$H$31/12</f>
        <v>3.8454242224354972E-2</v>
      </c>
      <c r="J63" s="18">
        <f>Rollforward!J$54*Assumptions!$H$31/12</f>
        <v>3.7485195320301229E-2</v>
      </c>
      <c r="K63" s="18">
        <f>Rollforward!K$54*Assumptions!$H$31/12</f>
        <v>3.6536819878697606E-2</v>
      </c>
      <c r="L63" s="18">
        <f>Rollforward!L$54*Assumptions!$H$32/12</f>
        <v>3.2047906188400817E-2</v>
      </c>
      <c r="M63" s="18">
        <f>Rollforward!M$54*Assumptions!$H$32/12</f>
        <v>3.1230684580596597E-2</v>
      </c>
      <c r="N63" s="18">
        <f>Rollforward!N$54*Assumptions!$H$32/12</f>
        <v>3.0431179055333324E-2</v>
      </c>
      <c r="O63" s="18">
        <f>Rollforward!O$54*Assumptions!$H$32/12</f>
        <v>2.9652140871516793E-2</v>
      </c>
      <c r="P63" s="18">
        <f>Rollforward!P$54*Assumptions!$H$32/12</f>
        <v>2.8896011279293112E-2</v>
      </c>
      <c r="Q63" s="18">
        <f>Rollforward!Q$54*Assumptions!$H$32/12</f>
        <v>2.8162052592799067E-2</v>
      </c>
      <c r="R63" s="18">
        <f>Rollforward!R$54*Assumptions!$H$32/12</f>
        <v>2.7449552662201251E-2</v>
      </c>
      <c r="S63" s="18">
        <f>Rollforward!S$54*Assumptions!$H$32/12</f>
        <v>2.6757823935113778E-2</v>
      </c>
      <c r="T63" s="18">
        <f>Rollforward!T$54*Assumptions!$H$32/12</f>
        <v>2.6086202554342418E-2</v>
      </c>
      <c r="U63" s="18">
        <f>Rollforward!U$54*Assumptions!$H$32/12</f>
        <v>2.543404749048386E-2</v>
      </c>
      <c r="V63" s="18">
        <f>Rollforward!V$54*Assumptions!$H$32/12</f>
        <v>2.4800739707970809E-2</v>
      </c>
      <c r="W63" s="18">
        <f>Rollforward!W$54*Assumptions!$H$32/12</f>
        <v>2.4185681363213137E-2</v>
      </c>
      <c r="X63" s="18">
        <f>Rollforward!X$54*Assumptions!$H$32/12</f>
        <v>2.3588295033541776E-2</v>
      </c>
    </row>
    <row r="64" spans="1:27" x14ac:dyDescent="0.75">
      <c r="A64" s="39" t="s">
        <v>98</v>
      </c>
      <c r="B64" s="65">
        <v>0</v>
      </c>
      <c r="C64" s="65">
        <f>Rollforward!C$54*Assumptions!$H$33/12</f>
        <v>1.4583333333333335E-2</v>
      </c>
      <c r="D64" s="65">
        <f>Rollforward!D$54*Assumptions!$H$33/12</f>
        <v>1.4510533333333332E-2</v>
      </c>
      <c r="E64" s="65">
        <f>Rollforward!E$54*Assumptions!$H$33/12</f>
        <v>1.4333040489599999E-2</v>
      </c>
      <c r="F64" s="65">
        <f>Rollforward!F$54*Assumptions!$H$33/12</f>
        <v>1.4156113437796379E-2</v>
      </c>
      <c r="G64" s="65">
        <f>Rollforward!G$54*Assumptions!$H$33/12</f>
        <v>1.3979784888815183E-2</v>
      </c>
      <c r="H64" s="65">
        <f>Rollforward!H$54*Assumptions!$H$33/12</f>
        <v>1.3804086952332555E-2</v>
      </c>
      <c r="I64" s="65">
        <f>Rollforward!I$54*Assumptions!$H$33/12</f>
        <v>1.345898477852424E-2</v>
      </c>
      <c r="J64" s="65">
        <f>Rollforward!J$54*Assumptions!$H$33/12</f>
        <v>1.3119818362105429E-2</v>
      </c>
      <c r="K64" s="65">
        <f>Rollforward!K$54*Assumptions!$H$33/12</f>
        <v>1.2787886957544162E-2</v>
      </c>
      <c r="L64" s="65">
        <f>Rollforward!L$54*Assumptions!$H$33/12</f>
        <v>1.2463074628822542E-2</v>
      </c>
      <c r="M64" s="65">
        <f>Rollforward!M$54*Assumptions!$H$33/12</f>
        <v>1.2145266225787566E-2</v>
      </c>
      <c r="N64" s="65">
        <f>Rollforward!N$54*Assumptions!$H$33/12</f>
        <v>1.1834347410407405E-2</v>
      </c>
      <c r="O64" s="65">
        <f>Rollforward!O$54*Assumptions!$H$33/12</f>
        <v>1.1531388116700977E-2</v>
      </c>
      <c r="P64" s="65">
        <f>Rollforward!P$54*Assumptions!$H$33/12</f>
        <v>1.1237337719725101E-2</v>
      </c>
      <c r="Q64" s="65">
        <f>Rollforward!Q$54*Assumptions!$H$33/12</f>
        <v>1.0951909341644082E-2</v>
      </c>
      <c r="R64" s="65">
        <f>Rollforward!R$54*Assumptions!$H$33/12</f>
        <v>1.0674826035300488E-2</v>
      </c>
      <c r="S64" s="65">
        <f>Rollforward!S$54*Assumptions!$H$33/12</f>
        <v>1.0405820419210914E-2</v>
      </c>
      <c r="T64" s="65">
        <f>Rollforward!T$54*Assumptions!$H$33/12</f>
        <v>1.0144634326688719E-2</v>
      </c>
      <c r="U64" s="65">
        <f>Rollforward!U$54*Assumptions!$H$33/12</f>
        <v>9.8910184685215008E-3</v>
      </c>
      <c r="V64" s="65">
        <f>Rollforward!V$54*Assumptions!$H$33/12</f>
        <v>9.6447321086553153E-3</v>
      </c>
      <c r="W64" s="65">
        <f>Rollforward!W$54*Assumptions!$H$33/12</f>
        <v>9.4055427523606645E-3</v>
      </c>
      <c r="X64" s="65">
        <f>Rollforward!X$54*Assumptions!$H$33/12</f>
        <v>9.1732258463773572E-3</v>
      </c>
    </row>
    <row r="65" spans="1:24" x14ac:dyDescent="0.75">
      <c r="A65" s="39" t="s">
        <v>99</v>
      </c>
      <c r="B65" s="65">
        <v>0</v>
      </c>
      <c r="C65" s="40">
        <f>+'Monthly Data'!AW$8</f>
        <v>2.1999999999999999E-2</v>
      </c>
      <c r="D65" s="40">
        <f>+'Monthly Data'!AX$8</f>
        <v>2.1999999999999999E-2</v>
      </c>
      <c r="E65" s="40">
        <f>+'Monthly Data'!AY$8</f>
        <v>2.1999999999999999E-2</v>
      </c>
      <c r="F65" s="40">
        <f>+'Monthly Data'!AZ$8</f>
        <v>2.1999999999999999E-2</v>
      </c>
      <c r="G65" s="40">
        <f>+'Monthly Data'!BA$8</f>
        <v>2.1999999999999999E-2</v>
      </c>
      <c r="H65" s="40">
        <f>+'Monthly Data'!BB$8</f>
        <v>2.1999999999999999E-2</v>
      </c>
      <c r="I65" s="40">
        <f>+'Monthly Data'!BC$8</f>
        <v>2.1999999999999999E-2</v>
      </c>
      <c r="J65" s="40">
        <f>+'Monthly Data'!BD$8</f>
        <v>2.1999999999999999E-2</v>
      </c>
      <c r="K65" s="40">
        <f>+'Monthly Data'!BE$8</f>
        <v>2.1999999999999999E-2</v>
      </c>
      <c r="L65" s="40">
        <f>+'Monthly Data'!BF$8</f>
        <v>2.1999999999999999E-2</v>
      </c>
      <c r="M65" s="40">
        <f>+'Monthly Data'!BG$8</f>
        <v>2.1999999999999999E-2</v>
      </c>
      <c r="N65" s="40">
        <f>+'Monthly Data'!BH$8</f>
        <v>2.1999999999999999E-2</v>
      </c>
      <c r="O65" s="40">
        <f>+'Monthly Data'!BI$8</f>
        <v>2.1999999999999999E-2</v>
      </c>
      <c r="P65" s="40">
        <f>+'Monthly Data'!BJ$8</f>
        <v>2.1999999999999999E-2</v>
      </c>
      <c r="Q65" s="40">
        <f>+'Monthly Data'!BK$8</f>
        <v>2.1999999999999999E-2</v>
      </c>
      <c r="R65" s="40">
        <f>+'Monthly Data'!BL$8</f>
        <v>2.1999999999999999E-2</v>
      </c>
      <c r="S65" s="40">
        <f>+'Monthly Data'!BM$8</f>
        <v>2.1999999999999999E-2</v>
      </c>
      <c r="T65" s="40">
        <f>+'Monthly Data'!BN$8</f>
        <v>2.1999999999999999E-2</v>
      </c>
      <c r="U65" s="40">
        <f>+'Monthly Data'!BO$8</f>
        <v>2.1999999999999999E-2</v>
      </c>
      <c r="V65" s="40">
        <f>+'Monthly Data'!BP$8</f>
        <v>2.1999999999999999E-2</v>
      </c>
      <c r="W65" s="40">
        <f>+'Monthly Data'!BQ$8</f>
        <v>2.1999999999999999E-2</v>
      </c>
      <c r="X65" s="40">
        <f>+'Monthly Data'!BR$8</f>
        <v>2.1999999999999999E-2</v>
      </c>
    </row>
    <row r="66" spans="1:24" ht="15" customHeight="1" x14ac:dyDescent="0.75">
      <c r="A66" s="8" t="s">
        <v>100</v>
      </c>
      <c r="B66" s="65">
        <v>0</v>
      </c>
      <c r="C66" s="40">
        <f>+Rollforward!C$67</f>
        <v>0.95040000000000002</v>
      </c>
      <c r="D66" s="40">
        <f>+Rollforward!D$67</f>
        <v>0.5954127871999999</v>
      </c>
      <c r="E66" s="40">
        <f>+Rollforward!E$67</f>
        <v>0.59245418106040315</v>
      </c>
      <c r="F66" s="40">
        <f>+Rollforward!F$67</f>
        <v>0.58941202830376871</v>
      </c>
      <c r="G66" s="40">
        <f>+Rollforward!G$67</f>
        <v>0.58628821289138511</v>
      </c>
      <c r="H66" s="40">
        <f>+Rollforward!H$67</f>
        <v>0</v>
      </c>
      <c r="I66" s="40">
        <f>+Rollforward!I$67</f>
        <v>0</v>
      </c>
      <c r="J66" s="40">
        <f>+Rollforward!J$67</f>
        <v>0</v>
      </c>
      <c r="K66" s="40">
        <f>+Rollforward!K$67</f>
        <v>0</v>
      </c>
      <c r="L66" s="40">
        <f>+Rollforward!L$67</f>
        <v>0</v>
      </c>
      <c r="M66" s="40">
        <f>+Rollforward!M$67</f>
        <v>0</v>
      </c>
      <c r="N66" s="40">
        <f>+Rollforward!N$67</f>
        <v>0</v>
      </c>
      <c r="O66" s="40">
        <f>+Rollforward!O$67</f>
        <v>0</v>
      </c>
      <c r="P66" s="40">
        <f>+Rollforward!P$67</f>
        <v>0</v>
      </c>
      <c r="Q66" s="40">
        <f>+Rollforward!Q$67</f>
        <v>0</v>
      </c>
      <c r="R66" s="40">
        <f>+Rollforward!R$67</f>
        <v>0</v>
      </c>
      <c r="S66" s="40">
        <f>+Rollforward!S$67</f>
        <v>0</v>
      </c>
      <c r="T66" s="40">
        <f>+Rollforward!T$67</f>
        <v>0</v>
      </c>
      <c r="U66" s="40">
        <f>+Rollforward!U$67</f>
        <v>0</v>
      </c>
      <c r="V66" s="40">
        <f>+Rollforward!V$67</f>
        <v>0</v>
      </c>
      <c r="W66" s="40">
        <f>+Rollforward!W$67</f>
        <v>0</v>
      </c>
      <c r="X66" s="40">
        <f>+Rollforward!X$67</f>
        <v>0</v>
      </c>
    </row>
    <row r="67" spans="1:24" x14ac:dyDescent="0.75">
      <c r="A67" s="66" t="s">
        <v>101</v>
      </c>
      <c r="B67" s="67">
        <v>0</v>
      </c>
      <c r="C67" s="68">
        <f t="shared" ref="C67:X67" si="16">SUM(C63:C66)</f>
        <v>1.0286500000000001</v>
      </c>
      <c r="D67" s="68">
        <f t="shared" si="16"/>
        <v>0.67338198719999987</v>
      </c>
      <c r="E67" s="68">
        <f t="shared" si="16"/>
        <v>0.66973876580600311</v>
      </c>
      <c r="F67" s="68">
        <f t="shared" si="16"/>
        <v>0.66601418013526903</v>
      </c>
      <c r="G67" s="68">
        <f t="shared" si="16"/>
        <v>0.66221024031967224</v>
      </c>
      <c r="H67" s="68">
        <f t="shared" si="16"/>
        <v>7.5244335387568417E-2</v>
      </c>
      <c r="I67" s="68">
        <f t="shared" si="16"/>
        <v>7.3913227002879209E-2</v>
      </c>
      <c r="J67" s="68">
        <f t="shared" si="16"/>
        <v>7.2605013682406655E-2</v>
      </c>
      <c r="K67" s="68">
        <f t="shared" si="16"/>
        <v>7.1324706836241758E-2</v>
      </c>
      <c r="L67" s="68">
        <f t="shared" si="16"/>
        <v>6.6510980817223356E-2</v>
      </c>
      <c r="M67" s="68">
        <f t="shared" si="16"/>
        <v>6.537595080638417E-2</v>
      </c>
      <c r="N67" s="68">
        <f t="shared" si="16"/>
        <v>6.4265526465740727E-2</v>
      </c>
      <c r="O67" s="68">
        <f t="shared" si="16"/>
        <v>6.3183528988217774E-2</v>
      </c>
      <c r="P67" s="68">
        <f t="shared" si="16"/>
        <v>6.2133348999018213E-2</v>
      </c>
      <c r="Q67" s="68">
        <f t="shared" si="16"/>
        <v>6.1113961934443149E-2</v>
      </c>
      <c r="R67" s="68">
        <f t="shared" si="16"/>
        <v>6.0124378697501736E-2</v>
      </c>
      <c r="S67" s="68">
        <f t="shared" si="16"/>
        <v>5.9163644354324689E-2</v>
      </c>
      <c r="T67" s="68">
        <f t="shared" si="16"/>
        <v>5.8230836881031138E-2</v>
      </c>
      <c r="U67" s="68">
        <f t="shared" si="16"/>
        <v>5.7325065959005363E-2</v>
      </c>
      <c r="V67" s="68">
        <f t="shared" si="16"/>
        <v>5.6445471816626125E-2</v>
      </c>
      <c r="W67" s="68">
        <f t="shared" si="16"/>
        <v>5.5591224115573802E-2</v>
      </c>
      <c r="X67" s="68">
        <f t="shared" si="16"/>
        <v>5.4761520879919132E-2</v>
      </c>
    </row>
    <row r="68" spans="1:24" ht="15" customHeight="1" x14ac:dyDescent="0.75">
      <c r="A68" s="15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spans="1:24" x14ac:dyDescent="0.75">
      <c r="A69" s="66" t="s">
        <v>102</v>
      </c>
      <c r="B69" s="68">
        <f t="shared" ref="B69:X69" si="17">B55+B61-B67</f>
        <v>1</v>
      </c>
      <c r="C69" s="68">
        <f t="shared" si="17"/>
        <v>1.6072666666666666</v>
      </c>
      <c r="D69" s="68">
        <f t="shared" si="17"/>
        <v>1.9631242538666664</v>
      </c>
      <c r="E69" s="68">
        <f t="shared" si="17"/>
        <v>1.9553986970668031</v>
      </c>
      <c r="F69" s="68">
        <f t="shared" si="17"/>
        <v>1.9476047892045854</v>
      </c>
      <c r="G69" s="68">
        <f t="shared" si="17"/>
        <v>1.9397452927624217</v>
      </c>
      <c r="H69" s="68">
        <f t="shared" si="17"/>
        <v>2.5149076010242712</v>
      </c>
      <c r="I69" s="68">
        <f t="shared" si="17"/>
        <v>2.4846064469564482</v>
      </c>
      <c r="J69" s="68">
        <f t="shared" si="17"/>
        <v>2.4505984011189699</v>
      </c>
      <c r="K69" s="68">
        <f t="shared" si="17"/>
        <v>2.4171999497498504</v>
      </c>
      <c r="L69" s="68">
        <f t="shared" si="17"/>
        <v>2.3879654371510211</v>
      </c>
      <c r="M69" s="68">
        <f t="shared" si="17"/>
        <v>2.355675718827793</v>
      </c>
      <c r="N69" s="68">
        <f t="shared" si="17"/>
        <v>2.3204072204258019</v>
      </c>
      <c r="O69" s="68">
        <f t="shared" si="17"/>
        <v>2.2825624110539766</v>
      </c>
      <c r="P69" s="68">
        <f t="shared" si="17"/>
        <v>2.2459056042486631</v>
      </c>
      <c r="Q69" s="68">
        <f t="shared" si="17"/>
        <v>2.2103964543965251</v>
      </c>
      <c r="R69" s="68">
        <f t="shared" si="17"/>
        <v>2.175996076587928</v>
      </c>
      <c r="S69" s="68">
        <f t="shared" si="17"/>
        <v>2.142666990782859</v>
      </c>
      <c r="T69" s="68">
        <f t="shared" si="17"/>
        <v>2.1103730682144994</v>
      </c>
      <c r="U69" s="68">
        <f t="shared" si="17"/>
        <v>2.0790794799369201</v>
      </c>
      <c r="V69" s="68">
        <f t="shared" si="17"/>
        <v>2.0487526474274222</v>
      </c>
      <c r="W69" s="68">
        <f t="shared" si="17"/>
        <v>2.0193601951579385</v>
      </c>
      <c r="X69" s="68">
        <f t="shared" si="17"/>
        <v>31.901300773485243</v>
      </c>
    </row>
    <row r="70" spans="1:24" ht="15" customHeight="1" x14ac:dyDescent="0.75">
      <c r="A70" s="39" t="s">
        <v>103</v>
      </c>
      <c r="B70" s="40">
        <f>+Assumptions!$B$22</f>
        <v>1</v>
      </c>
      <c r="C70" s="65">
        <f>IF(C$53=Assumptions!$H$40,0,Assumptions!$B$22)</f>
        <v>1</v>
      </c>
      <c r="D70" s="65">
        <f>IF(D$53=Assumptions!$H$40,0,Assumptions!$B$22)</f>
        <v>1</v>
      </c>
      <c r="E70" s="65">
        <f>IF(E$53=Assumptions!$H$40,0,Assumptions!$B$22)</f>
        <v>1</v>
      </c>
      <c r="F70" s="65">
        <f>IF(F$53=Assumptions!$H$40,0,Assumptions!$B$22)</f>
        <v>1</v>
      </c>
      <c r="G70" s="65">
        <f>IF(G$53=Assumptions!$H$40,0,Assumptions!$B$22)</f>
        <v>1</v>
      </c>
      <c r="H70" s="65">
        <f>IF(H$53=Assumptions!$H$40,0,Assumptions!$B$22)</f>
        <v>1</v>
      </c>
      <c r="I70" s="65">
        <f>IF(I$53=Assumptions!$H$40,0,Assumptions!$B$22)</f>
        <v>1</v>
      </c>
      <c r="J70" s="65">
        <f>IF(J$53=Assumptions!$H$40,0,Assumptions!$B$22)</f>
        <v>1</v>
      </c>
      <c r="K70" s="65">
        <f>IF(K$53=Assumptions!$H$40,0,Assumptions!$B$22)</f>
        <v>1</v>
      </c>
      <c r="L70" s="65">
        <f>IF(L$53=Assumptions!$H$40,0,Assumptions!$B$22)</f>
        <v>1</v>
      </c>
      <c r="M70" s="65">
        <f>IF(M$53=Assumptions!$H$40,0,Assumptions!$B$22)</f>
        <v>1</v>
      </c>
      <c r="N70" s="65">
        <f>IF(N$53=Assumptions!$H$40,0,Assumptions!$B$22)</f>
        <v>1</v>
      </c>
      <c r="O70" s="65">
        <f>IF(O$53=Assumptions!$H$40,0,Assumptions!$B$22)</f>
        <v>1</v>
      </c>
      <c r="P70" s="65">
        <f>IF(P$53=Assumptions!$H$40,0,Assumptions!$B$22)</f>
        <v>1</v>
      </c>
      <c r="Q70" s="65">
        <f>IF(Q$53=Assumptions!$H$40,0,Assumptions!$B$22)</f>
        <v>1</v>
      </c>
      <c r="R70" s="65">
        <f>IF(R$53=Assumptions!$H$40,0,Assumptions!$B$22)</f>
        <v>1</v>
      </c>
      <c r="S70" s="65">
        <f>IF(S$53=Assumptions!$H$40,0,Assumptions!$B$22)</f>
        <v>1</v>
      </c>
      <c r="T70" s="65">
        <f>IF(T$53=Assumptions!$H$40,0,Assumptions!$B$22)</f>
        <v>1</v>
      </c>
      <c r="U70" s="65">
        <f>IF(U$53=Assumptions!$H$40,0,Assumptions!$B$22)</f>
        <v>1</v>
      </c>
      <c r="V70" s="65">
        <f>IF(V$53=Assumptions!$H$40,0,Assumptions!$B$22)</f>
        <v>1</v>
      </c>
      <c r="W70" s="65">
        <f>IF(W$53=Assumptions!$H$40,0,Assumptions!$B$22)</f>
        <v>1</v>
      </c>
      <c r="X70" s="65">
        <f>IF(X$53=Assumptions!$H$40,0,Assumptions!$B$22)</f>
        <v>0</v>
      </c>
    </row>
    <row r="71" spans="1:24" ht="15" customHeight="1" x14ac:dyDescent="0.75">
      <c r="A71" s="66" t="s">
        <v>104</v>
      </c>
      <c r="B71" s="68">
        <f t="shared" ref="B71:X71" si="18">MAX(0,B69-B70)</f>
        <v>0</v>
      </c>
      <c r="C71" s="68">
        <f t="shared" si="18"/>
        <v>0.60726666666666662</v>
      </c>
      <c r="D71" s="68">
        <f t="shared" si="18"/>
        <v>0.96312425386666645</v>
      </c>
      <c r="E71" s="68">
        <f t="shared" si="18"/>
        <v>0.95539869706680314</v>
      </c>
      <c r="F71" s="68">
        <f t="shared" si="18"/>
        <v>0.94760478920458535</v>
      </c>
      <c r="G71" s="68">
        <f t="shared" si="18"/>
        <v>0.93974529276242169</v>
      </c>
      <c r="H71" s="68">
        <f t="shared" si="18"/>
        <v>1.5149076010242712</v>
      </c>
      <c r="I71" s="68">
        <f t="shared" si="18"/>
        <v>1.4846064469564482</v>
      </c>
      <c r="J71" s="68">
        <f t="shared" si="18"/>
        <v>1.4505984011189699</v>
      </c>
      <c r="K71" s="68">
        <f t="shared" si="18"/>
        <v>1.4171999497498504</v>
      </c>
      <c r="L71" s="68">
        <f t="shared" si="18"/>
        <v>1.3879654371510211</v>
      </c>
      <c r="M71" s="68">
        <f t="shared" si="18"/>
        <v>1.355675718827793</v>
      </c>
      <c r="N71" s="68">
        <f t="shared" si="18"/>
        <v>1.3204072204258019</v>
      </c>
      <c r="O71" s="68">
        <f t="shared" si="18"/>
        <v>1.2825624110539766</v>
      </c>
      <c r="P71" s="68">
        <f t="shared" si="18"/>
        <v>1.2459056042486631</v>
      </c>
      <c r="Q71" s="68">
        <f t="shared" si="18"/>
        <v>1.2103964543965251</v>
      </c>
      <c r="R71" s="68">
        <f t="shared" si="18"/>
        <v>1.175996076587928</v>
      </c>
      <c r="S71" s="68">
        <f t="shared" si="18"/>
        <v>1.142666990782859</v>
      </c>
      <c r="T71" s="68">
        <f t="shared" si="18"/>
        <v>1.1103730682144994</v>
      </c>
      <c r="U71" s="68">
        <f t="shared" si="18"/>
        <v>1.0790794799369201</v>
      </c>
      <c r="V71" s="68">
        <f t="shared" si="18"/>
        <v>1.0487526474274222</v>
      </c>
      <c r="W71" s="68">
        <f t="shared" si="18"/>
        <v>1.0193601951579385</v>
      </c>
      <c r="X71" s="68">
        <f t="shared" si="18"/>
        <v>31.901300773485243</v>
      </c>
    </row>
    <row r="72" spans="1:24" ht="15" customHeight="1" x14ac:dyDescent="0.75">
      <c r="A72" s="66" t="s">
        <v>105</v>
      </c>
      <c r="B72" s="68">
        <f t="shared" ref="B72:X72" si="19">B69-B71</f>
        <v>1</v>
      </c>
      <c r="C72" s="68">
        <f t="shared" si="19"/>
        <v>1</v>
      </c>
      <c r="D72" s="68">
        <f t="shared" si="19"/>
        <v>1</v>
      </c>
      <c r="E72" s="68">
        <f t="shared" si="19"/>
        <v>1</v>
      </c>
      <c r="F72" s="68">
        <f t="shared" si="19"/>
        <v>1</v>
      </c>
      <c r="G72" s="68">
        <f t="shared" si="19"/>
        <v>1</v>
      </c>
      <c r="H72" s="68">
        <f t="shared" si="19"/>
        <v>1</v>
      </c>
      <c r="I72" s="68">
        <f t="shared" si="19"/>
        <v>1</v>
      </c>
      <c r="J72" s="68">
        <f t="shared" si="19"/>
        <v>1</v>
      </c>
      <c r="K72" s="68">
        <f t="shared" si="19"/>
        <v>1</v>
      </c>
      <c r="L72" s="68">
        <f t="shared" si="19"/>
        <v>1</v>
      </c>
      <c r="M72" s="68">
        <f t="shared" si="19"/>
        <v>1</v>
      </c>
      <c r="N72" s="68">
        <f t="shared" si="19"/>
        <v>1</v>
      </c>
      <c r="O72" s="68">
        <f t="shared" si="19"/>
        <v>1</v>
      </c>
      <c r="P72" s="68">
        <f t="shared" si="19"/>
        <v>1</v>
      </c>
      <c r="Q72" s="68">
        <f t="shared" si="19"/>
        <v>1</v>
      </c>
      <c r="R72" s="68">
        <f t="shared" si="19"/>
        <v>1</v>
      </c>
      <c r="S72" s="68">
        <f t="shared" si="19"/>
        <v>1</v>
      </c>
      <c r="T72" s="68">
        <f t="shared" si="19"/>
        <v>1</v>
      </c>
      <c r="U72" s="68">
        <f t="shared" si="19"/>
        <v>1</v>
      </c>
      <c r="V72" s="68">
        <f t="shared" si="19"/>
        <v>1</v>
      </c>
      <c r="W72" s="68">
        <f t="shared" si="19"/>
        <v>1</v>
      </c>
      <c r="X72" s="68">
        <f t="shared" si="19"/>
        <v>0</v>
      </c>
    </row>
    <row r="73" spans="1:24" x14ac:dyDescent="0.75">
      <c r="A73" s="66" t="s">
        <v>106</v>
      </c>
      <c r="B73" s="68">
        <f t="shared" ref="B73:X73" si="20">B55+B61-B67-B71-B72</f>
        <v>0</v>
      </c>
      <c r="C73" s="68">
        <f t="shared" si="20"/>
        <v>0</v>
      </c>
      <c r="D73" s="68">
        <f t="shared" si="20"/>
        <v>0</v>
      </c>
      <c r="E73" s="68">
        <f t="shared" si="20"/>
        <v>0</v>
      </c>
      <c r="F73" s="68">
        <f t="shared" si="20"/>
        <v>0</v>
      </c>
      <c r="G73" s="68">
        <f t="shared" si="20"/>
        <v>0</v>
      </c>
      <c r="H73" s="68">
        <f t="shared" si="20"/>
        <v>0</v>
      </c>
      <c r="I73" s="68">
        <f t="shared" si="20"/>
        <v>0</v>
      </c>
      <c r="J73" s="68">
        <f t="shared" si="20"/>
        <v>0</v>
      </c>
      <c r="K73" s="68">
        <f t="shared" si="20"/>
        <v>0</v>
      </c>
      <c r="L73" s="68">
        <f t="shared" si="20"/>
        <v>0</v>
      </c>
      <c r="M73" s="68">
        <f t="shared" si="20"/>
        <v>0</v>
      </c>
      <c r="N73" s="68">
        <f t="shared" si="20"/>
        <v>0</v>
      </c>
      <c r="O73" s="68">
        <f t="shared" si="20"/>
        <v>0</v>
      </c>
      <c r="P73" s="68">
        <f t="shared" si="20"/>
        <v>0</v>
      </c>
      <c r="Q73" s="68">
        <f t="shared" si="20"/>
        <v>0</v>
      </c>
      <c r="R73" s="68">
        <f t="shared" si="20"/>
        <v>0</v>
      </c>
      <c r="S73" s="68">
        <f t="shared" si="20"/>
        <v>0</v>
      </c>
      <c r="T73" s="68">
        <f t="shared" si="20"/>
        <v>0</v>
      </c>
      <c r="U73" s="68">
        <f t="shared" si="20"/>
        <v>0</v>
      </c>
      <c r="V73" s="68">
        <f t="shared" si="20"/>
        <v>0</v>
      </c>
      <c r="W73" s="68">
        <f t="shared" si="20"/>
        <v>0</v>
      </c>
      <c r="X73" s="68">
        <f t="shared" si="20"/>
        <v>0</v>
      </c>
    </row>
    <row r="74" spans="1:24" x14ac:dyDescent="0.75">
      <c r="A74" s="66" t="s">
        <v>107</v>
      </c>
      <c r="B74" s="68">
        <f>B71*Assumptions!$B$16</f>
        <v>0</v>
      </c>
      <c r="C74" s="68">
        <f>C71*Assumptions!$B$16</f>
        <v>0.5358235294117647</v>
      </c>
      <c r="D74" s="68">
        <f>D71*Assumptions!$B$16</f>
        <v>0.84981551811764688</v>
      </c>
      <c r="E74" s="68">
        <f>E71*Assumptions!$B$16</f>
        <v>0.84299885035306155</v>
      </c>
      <c r="F74" s="68">
        <f>F71*Assumptions!$B$16</f>
        <v>0.83612187282757533</v>
      </c>
      <c r="G74" s="68">
        <f>G71*Assumptions!$B$16</f>
        <v>0.82918702302566616</v>
      </c>
      <c r="H74" s="68">
        <f>H71*Assumptions!$B$16</f>
        <v>1.336683177374357</v>
      </c>
      <c r="I74" s="68">
        <f>I71*Assumptions!$B$16</f>
        <v>1.309946864961572</v>
      </c>
      <c r="J74" s="68">
        <f>J71*Assumptions!$B$16</f>
        <v>1.2799397656932088</v>
      </c>
      <c r="K74" s="68">
        <f>K71*Assumptions!$B$16</f>
        <v>1.2504705438969268</v>
      </c>
      <c r="L74" s="68">
        <f>L71*Assumptions!$B$16</f>
        <v>1.2246753857214892</v>
      </c>
      <c r="M74" s="68">
        <f>M71*Assumptions!$B$16</f>
        <v>1.1961844577892291</v>
      </c>
      <c r="N74" s="68">
        <f>N71*Assumptions!$B$16</f>
        <v>1.1650651944933546</v>
      </c>
      <c r="O74" s="68">
        <f>O71*Assumptions!$B$16</f>
        <v>1.1316727156358617</v>
      </c>
      <c r="P74" s="68">
        <f>P71*Assumptions!$B$16</f>
        <v>1.0993284743370557</v>
      </c>
      <c r="Q74" s="68">
        <f>Q71*Assumptions!$B$16</f>
        <v>1.0679968715263457</v>
      </c>
      <c r="R74" s="68">
        <f>R71*Assumptions!$B$16</f>
        <v>1.0376435969893483</v>
      </c>
      <c r="S74" s="68">
        <f>S71*Assumptions!$B$16</f>
        <v>1.0082355801025227</v>
      </c>
      <c r="T74" s="68">
        <f>T71*Assumptions!$B$16</f>
        <v>0.97974094254220534</v>
      </c>
      <c r="U74" s="68">
        <f>U71*Assumptions!$B$16</f>
        <v>0.95212895288551769</v>
      </c>
      <c r="V74" s="68">
        <f>V71*Assumptions!$B$16</f>
        <v>0.92536998302419604</v>
      </c>
      <c r="W74" s="68">
        <f>W71*Assumptions!$B$16</f>
        <v>0.89943546631582805</v>
      </c>
      <c r="X74" s="68">
        <f>X71*Assumptions!$B$16</f>
        <v>28.148206564839921</v>
      </c>
    </row>
    <row r="75" spans="1:24" x14ac:dyDescent="0.75">
      <c r="A75" s="66" t="s">
        <v>108</v>
      </c>
      <c r="B75" s="68">
        <f>B71*Assumptions!$B$17</f>
        <v>0</v>
      </c>
      <c r="C75" s="68">
        <f>C71*Assumptions!$B$17</f>
        <v>7.1443137254901951E-2</v>
      </c>
      <c r="D75" s="68">
        <f>D71*Assumptions!$B$17</f>
        <v>0.11330873574901958</v>
      </c>
      <c r="E75" s="68">
        <f>E71*Assumptions!$B$17</f>
        <v>0.11239984671374155</v>
      </c>
      <c r="F75" s="68">
        <f>F71*Assumptions!$B$17</f>
        <v>0.11148291637701004</v>
      </c>
      <c r="G75" s="68">
        <f>G71*Assumptions!$B$17</f>
        <v>0.11055826973675549</v>
      </c>
      <c r="H75" s="68">
        <f>H71*Assumptions!$B$17</f>
        <v>0.17822442364991425</v>
      </c>
      <c r="I75" s="68">
        <f>I71*Assumptions!$B$17</f>
        <v>0.17465958199487625</v>
      </c>
      <c r="J75" s="68">
        <f>J71*Assumptions!$B$17</f>
        <v>0.17065863542576115</v>
      </c>
      <c r="K75" s="68">
        <f>K71*Assumptions!$B$17</f>
        <v>0.16672940585292359</v>
      </c>
      <c r="L75" s="68">
        <f>L71*Assumptions!$B$17</f>
        <v>0.16329005142953187</v>
      </c>
      <c r="M75" s="68">
        <f>M71*Assumptions!$B$17</f>
        <v>0.1594912610385639</v>
      </c>
      <c r="N75" s="68">
        <f>N71*Assumptions!$B$17</f>
        <v>0.15534202593244728</v>
      </c>
      <c r="O75" s="68">
        <f>O71*Assumptions!$B$17</f>
        <v>0.15088969541811489</v>
      </c>
      <c r="P75" s="68">
        <f>P71*Assumptions!$B$17</f>
        <v>0.14657712991160743</v>
      </c>
      <c r="Q75" s="68">
        <f>Q71*Assumptions!$B$17</f>
        <v>0.14239958287017943</v>
      </c>
      <c r="R75" s="68">
        <f>R71*Assumptions!$B$17</f>
        <v>0.13835247959857977</v>
      </c>
      <c r="S75" s="68">
        <f>S71*Assumptions!$B$17</f>
        <v>0.13443141068033634</v>
      </c>
      <c r="T75" s="68">
        <f>T71*Assumptions!$B$17</f>
        <v>0.13063212567229404</v>
      </c>
      <c r="U75" s="68">
        <f>U71*Assumptions!$B$17</f>
        <v>0.12695052705140236</v>
      </c>
      <c r="V75" s="68">
        <f>V71*Assumptions!$B$17</f>
        <v>0.12338266440322615</v>
      </c>
      <c r="W75" s="68">
        <f>W71*Assumptions!$B$17</f>
        <v>0.11992472884211042</v>
      </c>
      <c r="X75" s="68">
        <f>X71*Assumptions!$B$17</f>
        <v>3.7530942086453227</v>
      </c>
    </row>
  </sheetData>
  <mergeCells count="1">
    <mergeCell ref="A27:Z2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AL76"/>
  <sheetViews>
    <sheetView showGridLines="0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26" sqref="F26"/>
    </sheetView>
  </sheetViews>
  <sheetFormatPr defaultColWidth="8.6796875" defaultRowHeight="14.75" x14ac:dyDescent="0.75"/>
  <cols>
    <col min="1" max="1" width="34" customWidth="1"/>
    <col min="2" max="37" width="13.86328125" customWidth="1"/>
    <col min="38" max="38" width="13.1328125" customWidth="1"/>
    <col min="39" max="39" width="12" customWidth="1"/>
  </cols>
  <sheetData>
    <row r="1" spans="1:38" x14ac:dyDescent="0.75">
      <c r="A1" s="1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9.5" customHeight="1" x14ac:dyDescent="0.95">
      <c r="A2" s="48" t="s">
        <v>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69"/>
      <c r="Z2" s="69"/>
      <c r="AA2" s="69"/>
    </row>
    <row r="3" spans="1:38" x14ac:dyDescent="0.75">
      <c r="A3" s="6" t="s">
        <v>109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9"/>
      <c r="Z3" s="69"/>
      <c r="AA3" s="69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x14ac:dyDescent="0.75">
      <c r="A4" s="15"/>
      <c r="B4" s="70">
        <f>+Rollforward!B$5</f>
        <v>0</v>
      </c>
      <c r="C4" s="70">
        <f>+Rollforward!C$5</f>
        <v>1</v>
      </c>
      <c r="D4" s="70">
        <f>+Rollforward!D$5</f>
        <v>2</v>
      </c>
      <c r="E4" s="70">
        <f>+Rollforward!E$5</f>
        <v>3</v>
      </c>
      <c r="F4" s="70">
        <f>+Rollforward!F$5</f>
        <v>4</v>
      </c>
      <c r="G4" s="70">
        <f>+Rollforward!G$5</f>
        <v>5</v>
      </c>
      <c r="H4" s="70">
        <f>+Rollforward!H$5</f>
        <v>6</v>
      </c>
      <c r="I4" s="70">
        <f>+Rollforward!I$5</f>
        <v>7</v>
      </c>
      <c r="J4" s="70">
        <f>+Rollforward!J$5</f>
        <v>8</v>
      </c>
      <c r="K4" s="70">
        <f>+Rollforward!K$5</f>
        <v>9</v>
      </c>
      <c r="L4" s="70">
        <f>+Rollforward!L$5</f>
        <v>10</v>
      </c>
      <c r="M4" s="70">
        <f>+Rollforward!M$5</f>
        <v>11</v>
      </c>
      <c r="N4" s="70">
        <f>+Rollforward!N$5</f>
        <v>12</v>
      </c>
      <c r="O4" s="70">
        <f>+Rollforward!O$5</f>
        <v>13</v>
      </c>
      <c r="P4" s="70">
        <f>+Rollforward!P$5</f>
        <v>14</v>
      </c>
      <c r="Q4" s="70">
        <f>+Rollforward!Q$5</f>
        <v>15</v>
      </c>
      <c r="R4" s="70">
        <f>+Rollforward!R$5</f>
        <v>16</v>
      </c>
      <c r="S4" s="70">
        <f>+Rollforward!S$5</f>
        <v>17</v>
      </c>
      <c r="T4" s="70">
        <f>+Rollforward!T$5</f>
        <v>18</v>
      </c>
      <c r="U4" s="70">
        <f>+Rollforward!U$5</f>
        <v>19</v>
      </c>
      <c r="V4" s="70">
        <f>+Rollforward!V$5</f>
        <v>20</v>
      </c>
      <c r="W4" s="70">
        <f>+Rollforward!W$5</f>
        <v>21</v>
      </c>
      <c r="X4" s="70">
        <f>+Rollforward!X$5</f>
        <v>22</v>
      </c>
      <c r="Y4" s="69"/>
      <c r="Z4" s="69"/>
      <c r="AA4" s="69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</row>
    <row r="5" spans="1:38" ht="13.5" customHeight="1" x14ac:dyDescent="0.75">
      <c r="A5" s="15"/>
      <c r="B5" s="71" t="str">
        <f>+Rollforward!B$6</f>
        <v>Close / M0</v>
      </c>
      <c r="C5" s="71">
        <f>+Rollforward!C$6</f>
        <v>46053</v>
      </c>
      <c r="D5" s="71">
        <f>+Rollforward!D$6</f>
        <v>46081</v>
      </c>
      <c r="E5" s="71">
        <f>+Rollforward!E$6</f>
        <v>46112</v>
      </c>
      <c r="F5" s="71">
        <f>+Rollforward!F$6</f>
        <v>46142</v>
      </c>
      <c r="G5" s="71">
        <f>+Rollforward!G$6</f>
        <v>46173</v>
      </c>
      <c r="H5" s="71">
        <f>+Rollforward!H$6</f>
        <v>46203</v>
      </c>
      <c r="I5" s="71">
        <f>+Rollforward!I$6</f>
        <v>46234</v>
      </c>
      <c r="J5" s="71">
        <f>+Rollforward!J$6</f>
        <v>46265</v>
      </c>
      <c r="K5" s="71">
        <f>+Rollforward!K$6</f>
        <v>46295</v>
      </c>
      <c r="L5" s="71">
        <f>+Rollforward!L$6</f>
        <v>46326</v>
      </c>
      <c r="M5" s="71">
        <f>+Rollforward!M$6</f>
        <v>46356</v>
      </c>
      <c r="N5" s="71">
        <f>+Rollforward!N$6</f>
        <v>46387</v>
      </c>
      <c r="O5" s="71">
        <f>+Rollforward!O$6</f>
        <v>46418</v>
      </c>
      <c r="P5" s="71">
        <f>+Rollforward!P$6</f>
        <v>46446</v>
      </c>
      <c r="Q5" s="71">
        <f>+Rollforward!Q$6</f>
        <v>46477</v>
      </c>
      <c r="R5" s="71">
        <f>+Rollforward!R$6</f>
        <v>46507</v>
      </c>
      <c r="S5" s="71">
        <f>+Rollforward!S$6</f>
        <v>46538</v>
      </c>
      <c r="T5" s="71">
        <f>+Rollforward!T$6</f>
        <v>46568</v>
      </c>
      <c r="U5" s="71">
        <f>+Rollforward!U$6</f>
        <v>46599</v>
      </c>
      <c r="V5" s="71">
        <f>+Rollforward!V$6</f>
        <v>46630</v>
      </c>
      <c r="W5" s="71">
        <f>+Rollforward!W$6</f>
        <v>46660</v>
      </c>
      <c r="X5" s="71">
        <f>+Rollforward!X$6</f>
        <v>46691</v>
      </c>
      <c r="Y5" s="69"/>
      <c r="Z5" s="69"/>
      <c r="AA5" s="69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</row>
    <row r="6" spans="1:38" x14ac:dyDescent="0.75">
      <c r="A6" s="6" t="s">
        <v>110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9"/>
      <c r="Z6" s="69"/>
      <c r="AA6" s="69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x14ac:dyDescent="0.75">
      <c r="A7" s="8" t="s">
        <v>111</v>
      </c>
      <c r="B7" s="18">
        <f>-Sources_Uses!$B$11</f>
        <v>-45</v>
      </c>
      <c r="C7" s="18">
        <f>IF(C$4=Assumptions!$B$18,-Assumptions!$B$20,0)</f>
        <v>0</v>
      </c>
      <c r="D7" s="18">
        <f>IF(D$4=Assumptions!$B$18,-Assumptions!$B$20,0)</f>
        <v>0</v>
      </c>
      <c r="E7" s="18">
        <f>IF(E$4=Assumptions!$B$18,-Assumptions!$B$20,0)</f>
        <v>0</v>
      </c>
      <c r="F7" s="18">
        <f>IF(F$4=Assumptions!$B$18,-Assumptions!$B$20,0)</f>
        <v>0</v>
      </c>
      <c r="G7" s="18">
        <f>IF(G$4=Assumptions!$B$18,-Assumptions!$B$20,0)</f>
        <v>0</v>
      </c>
      <c r="H7" s="18">
        <f>IF(H$4=Assumptions!$B$18,-Assumptions!$B$20,0)</f>
        <v>0</v>
      </c>
      <c r="I7" s="18">
        <f>IF(I$4=Assumptions!$B$18,-Assumptions!$B$20,0)</f>
        <v>-8.8235294117647065</v>
      </c>
      <c r="J7" s="18">
        <f>IF(J$4=Assumptions!$B$18,-Assumptions!$B$20,0)</f>
        <v>0</v>
      </c>
      <c r="K7" s="18">
        <f>IF(K$4=Assumptions!$B$18,-Assumptions!$B$20,0)</f>
        <v>0</v>
      </c>
      <c r="L7" s="18">
        <f>IF(L$4=Assumptions!$B$18,-Assumptions!$B$20,0)</f>
        <v>0</v>
      </c>
      <c r="M7" s="18">
        <f>IF(M$4=Assumptions!$B$18,-Assumptions!$B$20,0)</f>
        <v>0</v>
      </c>
      <c r="N7" s="18">
        <f>IF(N$4=Assumptions!$B$18,-Assumptions!$B$20,0)</f>
        <v>0</v>
      </c>
      <c r="O7" s="18">
        <f>IF(O$4=Assumptions!$B$18,-Assumptions!$B$20,0)</f>
        <v>0</v>
      </c>
      <c r="P7" s="18">
        <f>IF(P$4=Assumptions!$B$18,-Assumptions!$B$20,0)</f>
        <v>0</v>
      </c>
      <c r="Q7" s="18">
        <f>IF(Q$4=Assumptions!$B$18,-Assumptions!$B$20,0)</f>
        <v>0</v>
      </c>
      <c r="R7" s="18">
        <f>IF(R$4=Assumptions!$B$18,-Assumptions!$B$20,0)</f>
        <v>0</v>
      </c>
      <c r="S7" s="18">
        <f>IF(S$4=Assumptions!$B$18,-Assumptions!$B$20,0)</f>
        <v>0</v>
      </c>
      <c r="T7" s="18">
        <f>IF(T$4=Assumptions!$B$18,-Assumptions!$B$20,0)</f>
        <v>0</v>
      </c>
      <c r="U7" s="18">
        <f>IF(U$4=Assumptions!$B$18,-Assumptions!$B$20,0)</f>
        <v>0</v>
      </c>
      <c r="V7" s="18">
        <f>IF(V$4=Assumptions!$B$18,-Assumptions!$B$20,0)</f>
        <v>0</v>
      </c>
      <c r="W7" s="18">
        <f>IF(W$4=Assumptions!$B$18,-Assumptions!$B$20,0)</f>
        <v>0</v>
      </c>
      <c r="X7" s="18">
        <f>IF(X$4=Assumptions!$B$18,-Assumptions!$B$20,0)</f>
        <v>0</v>
      </c>
      <c r="Y7" s="69"/>
      <c r="Z7" s="69"/>
      <c r="AA7" s="69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5" customHeight="1" x14ac:dyDescent="0.75">
      <c r="A8" s="8" t="s">
        <v>112</v>
      </c>
      <c r="B8" s="18">
        <f>+Waterfall!B$21*Assumptions!$B$16</f>
        <v>0</v>
      </c>
      <c r="C8" s="18">
        <f>+Waterfall!C$21*Assumptions!$B$16</f>
        <v>0.53253529411764722</v>
      </c>
      <c r="D8" s="18">
        <f>+Waterfall!D$21*Assumptions!$B$16</f>
        <v>0.53096852741647083</v>
      </c>
      <c r="E8" s="18">
        <f>+Waterfall!E$21*Assumptions!$B$16</f>
        <v>0.5293905302453964</v>
      </c>
      <c r="F8" s="18">
        <f>+Waterfall!F$21*Assumptions!$B$16</f>
        <v>0.52780142840349553</v>
      </c>
      <c r="G8" s="18">
        <f>+Waterfall!G$21*Assumptions!$B$16</f>
        <v>0.52620134823800302</v>
      </c>
      <c r="H8" s="18">
        <f>+Waterfall!H$21*Assumptions!$B$16</f>
        <v>0.52459041662814498</v>
      </c>
      <c r="I8" s="18">
        <f>+Waterfall!I$21*Assumptions!$B$16</f>
        <v>0.52138746012576032</v>
      </c>
      <c r="J8" s="18">
        <f>+Waterfall!J$21*Assumptions!$B$16</f>
        <v>0.62968951622209979</v>
      </c>
      <c r="K8" s="18">
        <f>+Waterfall!K$21*Assumptions!$B$16</f>
        <v>0.62588142726109963</v>
      </c>
      <c r="L8" s="18">
        <f>+Waterfall!L$21*Assumptions!$B$16</f>
        <v>0.62305247603627156</v>
      </c>
      <c r="M8" s="18">
        <f>+Waterfall!M$21*Assumptions!$B$16</f>
        <v>0.62023596088102784</v>
      </c>
      <c r="N8" s="18">
        <f>+Waterfall!N$21*Assumptions!$B$16</f>
        <v>0.61836472282347554</v>
      </c>
      <c r="O8" s="18">
        <f>+Waterfall!O$21*Assumptions!$B$16</f>
        <v>1.4872632967814192</v>
      </c>
      <c r="P8" s="18">
        <f>+Waterfall!P$21*Assumptions!$B$16</f>
        <v>1.4591498208090636</v>
      </c>
      <c r="Q8" s="18">
        <f>+Waterfall!Q$21*Assumptions!$B$16</f>
        <v>1.426955648833073</v>
      </c>
      <c r="R8" s="18">
        <f>+Waterfall!R$21*Assumptions!$B$16</f>
        <v>1.3911161502423945</v>
      </c>
      <c r="S8" s="18">
        <f>+Waterfall!S$21*Assumptions!$B$16</f>
        <v>1.3562931624044332</v>
      </c>
      <c r="T8" s="18">
        <f>+Waterfall!T$21*Assumptions!$B$16</f>
        <v>1.32661605362591</v>
      </c>
      <c r="U8" s="18">
        <f>+Waterfall!U$21*Assumptions!$B$16</f>
        <v>1.2935088820890721</v>
      </c>
      <c r="V8" s="18">
        <f>+Waterfall!V$21*Assumptions!$B$16</f>
        <v>1.2653190293594514</v>
      </c>
      <c r="W8" s="18">
        <f>+Waterfall!W$21*Assumptions!$B$16</f>
        <v>1.2338373450922582</v>
      </c>
      <c r="X8" s="18">
        <f>+Waterfall!X$21*Assumptions!$B$16</f>
        <v>42.055438420743393</v>
      </c>
      <c r="Y8" s="69"/>
      <c r="Z8" s="69"/>
      <c r="AA8" s="69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1:38" ht="15" customHeight="1" x14ac:dyDescent="0.75">
      <c r="A9" s="72" t="s">
        <v>113</v>
      </c>
      <c r="B9" s="73">
        <f t="shared" ref="B9:X9" si="0">B7+B8</f>
        <v>-45</v>
      </c>
      <c r="C9" s="73">
        <f t="shared" si="0"/>
        <v>0.53253529411764722</v>
      </c>
      <c r="D9" s="73">
        <f t="shared" si="0"/>
        <v>0.53096852741647083</v>
      </c>
      <c r="E9" s="73">
        <f t="shared" si="0"/>
        <v>0.5293905302453964</v>
      </c>
      <c r="F9" s="73">
        <f t="shared" si="0"/>
        <v>0.52780142840349553</v>
      </c>
      <c r="G9" s="73">
        <f t="shared" si="0"/>
        <v>0.52620134823800302</v>
      </c>
      <c r="H9" s="73">
        <f t="shared" si="0"/>
        <v>0.52459041662814498</v>
      </c>
      <c r="I9" s="73">
        <f t="shared" si="0"/>
        <v>-8.3021419516389461</v>
      </c>
      <c r="J9" s="73">
        <f t="shared" si="0"/>
        <v>0.62968951622209979</v>
      </c>
      <c r="K9" s="73">
        <f t="shared" si="0"/>
        <v>0.62588142726109963</v>
      </c>
      <c r="L9" s="73">
        <f t="shared" si="0"/>
        <v>0.62305247603627156</v>
      </c>
      <c r="M9" s="73">
        <f t="shared" si="0"/>
        <v>0.62023596088102784</v>
      </c>
      <c r="N9" s="73">
        <f t="shared" si="0"/>
        <v>0.61836472282347554</v>
      </c>
      <c r="O9" s="73">
        <f t="shared" si="0"/>
        <v>1.4872632967814192</v>
      </c>
      <c r="P9" s="73">
        <f t="shared" si="0"/>
        <v>1.4591498208090636</v>
      </c>
      <c r="Q9" s="73">
        <f t="shared" si="0"/>
        <v>1.426955648833073</v>
      </c>
      <c r="R9" s="73">
        <f t="shared" si="0"/>
        <v>1.3911161502423945</v>
      </c>
      <c r="S9" s="73">
        <f t="shared" si="0"/>
        <v>1.3562931624044332</v>
      </c>
      <c r="T9" s="73">
        <f t="shared" si="0"/>
        <v>1.32661605362591</v>
      </c>
      <c r="U9" s="73">
        <f t="shared" si="0"/>
        <v>1.2935088820890721</v>
      </c>
      <c r="V9" s="73">
        <f t="shared" si="0"/>
        <v>1.2653190293594514</v>
      </c>
      <c r="W9" s="73">
        <f t="shared" si="0"/>
        <v>1.2338373450922582</v>
      </c>
      <c r="X9" s="73">
        <f t="shared" si="0"/>
        <v>42.055438420743393</v>
      </c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</row>
    <row r="10" spans="1:38" x14ac:dyDescent="0.75">
      <c r="A10" s="72" t="s">
        <v>114</v>
      </c>
      <c r="B10" s="73">
        <f>B9</f>
        <v>-45</v>
      </c>
      <c r="C10" s="73">
        <f t="shared" ref="C10:X10" si="1">B10+C9</f>
        <v>-44.46746470588235</v>
      </c>
      <c r="D10" s="73">
        <f t="shared" si="1"/>
        <v>-43.93649617846588</v>
      </c>
      <c r="E10" s="73">
        <f t="shared" si="1"/>
        <v>-43.407105648220487</v>
      </c>
      <c r="F10" s="73">
        <f t="shared" si="1"/>
        <v>-42.879304219816994</v>
      </c>
      <c r="G10" s="73">
        <f t="shared" si="1"/>
        <v>-42.35310287157899</v>
      </c>
      <c r="H10" s="73">
        <f t="shared" si="1"/>
        <v>-41.828512454950847</v>
      </c>
      <c r="I10" s="73">
        <f t="shared" si="1"/>
        <v>-50.130654406589791</v>
      </c>
      <c r="J10" s="73">
        <f t="shared" si="1"/>
        <v>-49.50096489036769</v>
      </c>
      <c r="K10" s="73">
        <f t="shared" si="1"/>
        <v>-48.875083463106591</v>
      </c>
      <c r="L10" s="73">
        <f t="shared" si="1"/>
        <v>-48.25203098707032</v>
      </c>
      <c r="M10" s="73">
        <f t="shared" si="1"/>
        <v>-47.631795026189295</v>
      </c>
      <c r="N10" s="73">
        <f t="shared" si="1"/>
        <v>-47.013430303365816</v>
      </c>
      <c r="O10" s="73">
        <f t="shared" si="1"/>
        <v>-45.526167006584394</v>
      </c>
      <c r="P10" s="73">
        <f t="shared" si="1"/>
        <v>-44.067017185775327</v>
      </c>
      <c r="Q10" s="73">
        <f t="shared" si="1"/>
        <v>-42.640061536942255</v>
      </c>
      <c r="R10" s="73">
        <f t="shared" si="1"/>
        <v>-41.248945386699859</v>
      </c>
      <c r="S10" s="73">
        <f t="shared" si="1"/>
        <v>-39.892652224295425</v>
      </c>
      <c r="T10" s="73">
        <f t="shared" si="1"/>
        <v>-38.566036170669513</v>
      </c>
      <c r="U10" s="73">
        <f t="shared" si="1"/>
        <v>-37.272527288580442</v>
      </c>
      <c r="V10" s="73">
        <f t="shared" si="1"/>
        <v>-36.007208259220988</v>
      </c>
      <c r="W10" s="73">
        <f t="shared" si="1"/>
        <v>-34.773370914128733</v>
      </c>
      <c r="X10" s="73">
        <f t="shared" si="1"/>
        <v>7.2820675066146592</v>
      </c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</row>
    <row r="11" spans="1:38" x14ac:dyDescent="0.75">
      <c r="A11" s="15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69"/>
      <c r="Z11" s="69"/>
      <c r="AA11" s="69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x14ac:dyDescent="0.75">
      <c r="A12" s="15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69"/>
      <c r="Z12" s="69"/>
      <c r="AA12" s="69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x14ac:dyDescent="0.75">
      <c r="A13" s="6" t="s">
        <v>67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69"/>
      <c r="Z13" s="69"/>
      <c r="AA13" s="69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x14ac:dyDescent="0.75">
      <c r="A14" s="8" t="s">
        <v>111</v>
      </c>
      <c r="B14" s="18">
        <f>-Sources_Uses!$B$12</f>
        <v>-6</v>
      </c>
      <c r="C14" s="18">
        <f>IF(C$4=Assumptions!$B$18,-Assumptions!$B$21,0)</f>
        <v>0</v>
      </c>
      <c r="D14" s="18">
        <f>IF(D$4=Assumptions!$B$18,-Assumptions!$B$21,0)</f>
        <v>0</v>
      </c>
      <c r="E14" s="18">
        <f>IF(E$4=Assumptions!$B$18,-Assumptions!$B$21,0)</f>
        <v>0</v>
      </c>
      <c r="F14" s="18">
        <f>IF(F$4=Assumptions!$B$18,-Assumptions!$B$21,0)</f>
        <v>0</v>
      </c>
      <c r="G14" s="18">
        <f>IF(G$4=Assumptions!$B$18,-Assumptions!$B$21,0)</f>
        <v>0</v>
      </c>
      <c r="H14" s="18">
        <f>IF(H$4=Assumptions!$B$18,-Assumptions!$B$21,0)</f>
        <v>0</v>
      </c>
      <c r="I14" s="18">
        <f>IF(I$4=Assumptions!$B$18,-Assumptions!$B$21,0)</f>
        <v>-1.1764705882352942</v>
      </c>
      <c r="J14" s="18">
        <f>IF(J$4=Assumptions!$B$18,-Assumptions!$B$21,0)</f>
        <v>0</v>
      </c>
      <c r="K14" s="18">
        <f>IF(K$4=Assumptions!$B$18,-Assumptions!$B$21,0)</f>
        <v>0</v>
      </c>
      <c r="L14" s="18">
        <f>IF(L$4=Assumptions!$B$18,-Assumptions!$B$21,0)</f>
        <v>0</v>
      </c>
      <c r="M14" s="18">
        <f>IF(M$4=Assumptions!$B$18,-Assumptions!$B$21,0)</f>
        <v>0</v>
      </c>
      <c r="N14" s="18">
        <f>IF(N$4=Assumptions!$B$18,-Assumptions!$B$21,0)</f>
        <v>0</v>
      </c>
      <c r="O14" s="18">
        <f>IF(O$4=Assumptions!$B$18,-Assumptions!$B$21,0)</f>
        <v>0</v>
      </c>
      <c r="P14" s="18">
        <f>IF(P$4=Assumptions!$B$18,-Assumptions!$B$21,0)</f>
        <v>0</v>
      </c>
      <c r="Q14" s="18">
        <f>IF(Q$4=Assumptions!$B$18,-Assumptions!$B$21,0)</f>
        <v>0</v>
      </c>
      <c r="R14" s="18">
        <f>IF(R$4=Assumptions!$B$18,-Assumptions!$B$21,0)</f>
        <v>0</v>
      </c>
      <c r="S14" s="18">
        <f>IF(S$4=Assumptions!$B$18,-Assumptions!$B$21,0)</f>
        <v>0</v>
      </c>
      <c r="T14" s="18">
        <f>IF(T$4=Assumptions!$B$18,-Assumptions!$B$21,0)</f>
        <v>0</v>
      </c>
      <c r="U14" s="18">
        <f>IF(U$4=Assumptions!$B$18,-Assumptions!$B$21,0)</f>
        <v>0</v>
      </c>
      <c r="V14" s="18">
        <f>IF(V$4=Assumptions!$B$18,-Assumptions!$B$21,0)</f>
        <v>0</v>
      </c>
      <c r="W14" s="18">
        <f>IF(W$4=Assumptions!$B$18,-Assumptions!$B$21,0)</f>
        <v>0</v>
      </c>
      <c r="X14" s="18">
        <f>IF(X$4=Assumptions!$B$18,-Assumptions!$B$21,0)</f>
        <v>0</v>
      </c>
      <c r="Y14" s="69"/>
      <c r="Z14" s="69"/>
      <c r="AA14" s="69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spans="1:38" ht="15" customHeight="1" x14ac:dyDescent="0.75">
      <c r="A15" s="8" t="s">
        <v>112</v>
      </c>
      <c r="B15" s="18">
        <f>+Waterfall!B$21*Assumptions!$B$17</f>
        <v>0</v>
      </c>
      <c r="C15" s="18">
        <f>+Waterfall!C$21*Assumptions!$B$17</f>
        <v>7.1004705882352956E-2</v>
      </c>
      <c r="D15" s="18">
        <f>+Waterfall!D$21*Assumptions!$B$17</f>
        <v>7.0795803655529441E-2</v>
      </c>
      <c r="E15" s="18">
        <f>+Waterfall!E$21*Assumptions!$B$17</f>
        <v>7.0585404032719512E-2</v>
      </c>
      <c r="F15" s="18">
        <f>+Waterfall!F$21*Assumptions!$B$17</f>
        <v>7.0373523787132741E-2</v>
      </c>
      <c r="G15" s="18">
        <f>+Waterfall!G$21*Assumptions!$B$17</f>
        <v>7.0160179765067068E-2</v>
      </c>
      <c r="H15" s="18">
        <f>+Waterfall!H$21*Assumptions!$B$17</f>
        <v>6.9945388883752665E-2</v>
      </c>
      <c r="I15" s="18">
        <f>+Waterfall!I$21*Assumptions!$B$17</f>
        <v>6.9518328016768036E-2</v>
      </c>
      <c r="J15" s="18">
        <f>+Waterfall!J$21*Assumptions!$B$17</f>
        <v>8.3958602162946649E-2</v>
      </c>
      <c r="K15" s="18">
        <f>+Waterfall!K$21*Assumptions!$B$17</f>
        <v>8.3450856968146608E-2</v>
      </c>
      <c r="L15" s="18">
        <f>+Waterfall!L$21*Assumptions!$B$17</f>
        <v>8.3073663471502884E-2</v>
      </c>
      <c r="M15" s="18">
        <f>+Waterfall!M$21*Assumptions!$B$17</f>
        <v>8.269812811747039E-2</v>
      </c>
      <c r="N15" s="18">
        <f>+Waterfall!N$21*Assumptions!$B$17</f>
        <v>8.2448629709796731E-2</v>
      </c>
      <c r="O15" s="18">
        <f>+Waterfall!O$21*Assumptions!$B$17</f>
        <v>0.19830177290418921</v>
      </c>
      <c r="P15" s="18">
        <f>+Waterfall!P$21*Assumptions!$B$17</f>
        <v>0.19455330944120847</v>
      </c>
      <c r="Q15" s="18">
        <f>+Waterfall!Q$21*Assumptions!$B$17</f>
        <v>0.19026075317774307</v>
      </c>
      <c r="R15" s="18">
        <f>+Waterfall!R$21*Assumptions!$B$17</f>
        <v>0.18548215336565263</v>
      </c>
      <c r="S15" s="18">
        <f>+Waterfall!S$21*Assumptions!$B$17</f>
        <v>0.18083908832059112</v>
      </c>
      <c r="T15" s="18">
        <f>+Waterfall!T$21*Assumptions!$B$17</f>
        <v>0.17688214048345466</v>
      </c>
      <c r="U15" s="18">
        <f>+Waterfall!U$21*Assumptions!$B$17</f>
        <v>0.17246785094520961</v>
      </c>
      <c r="V15" s="18">
        <f>+Waterfall!V$21*Assumptions!$B$17</f>
        <v>0.16870920391459354</v>
      </c>
      <c r="W15" s="18">
        <f>+Waterfall!W$21*Assumptions!$B$17</f>
        <v>0.16451164601230109</v>
      </c>
      <c r="X15" s="18">
        <f>+Waterfall!X$21*Assumptions!$B$17</f>
        <v>5.6073917894324525</v>
      </c>
      <c r="Y15" s="69"/>
      <c r="Z15" s="69"/>
      <c r="AA15" s="69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 spans="1:38" ht="15" customHeight="1" x14ac:dyDescent="0.75">
      <c r="A16" s="72" t="s">
        <v>113</v>
      </c>
      <c r="B16" s="73">
        <f t="shared" ref="B16:X16" si="2">B14+B15</f>
        <v>-6</v>
      </c>
      <c r="C16" s="73">
        <f t="shared" si="2"/>
        <v>7.1004705882352956E-2</v>
      </c>
      <c r="D16" s="73">
        <f t="shared" si="2"/>
        <v>7.0795803655529441E-2</v>
      </c>
      <c r="E16" s="73">
        <f t="shared" si="2"/>
        <v>7.0585404032719512E-2</v>
      </c>
      <c r="F16" s="73">
        <f t="shared" si="2"/>
        <v>7.0373523787132741E-2</v>
      </c>
      <c r="G16" s="73">
        <f t="shared" si="2"/>
        <v>7.0160179765067068E-2</v>
      </c>
      <c r="H16" s="73">
        <f t="shared" si="2"/>
        <v>6.9945388883752665E-2</v>
      </c>
      <c r="I16" s="73">
        <f t="shared" si="2"/>
        <v>-1.1069522602185262</v>
      </c>
      <c r="J16" s="73">
        <f t="shared" si="2"/>
        <v>8.3958602162946649E-2</v>
      </c>
      <c r="K16" s="73">
        <f t="shared" si="2"/>
        <v>8.3450856968146608E-2</v>
      </c>
      <c r="L16" s="73">
        <f t="shared" si="2"/>
        <v>8.3073663471502884E-2</v>
      </c>
      <c r="M16" s="73">
        <f t="shared" si="2"/>
        <v>8.269812811747039E-2</v>
      </c>
      <c r="N16" s="73">
        <f t="shared" si="2"/>
        <v>8.2448629709796731E-2</v>
      </c>
      <c r="O16" s="73">
        <f t="shared" si="2"/>
        <v>0.19830177290418921</v>
      </c>
      <c r="P16" s="73">
        <f t="shared" si="2"/>
        <v>0.19455330944120847</v>
      </c>
      <c r="Q16" s="73">
        <f t="shared" si="2"/>
        <v>0.19026075317774307</v>
      </c>
      <c r="R16" s="73">
        <f t="shared" si="2"/>
        <v>0.18548215336565263</v>
      </c>
      <c r="S16" s="73">
        <f t="shared" si="2"/>
        <v>0.18083908832059112</v>
      </c>
      <c r="T16" s="73">
        <f t="shared" si="2"/>
        <v>0.17688214048345466</v>
      </c>
      <c r="U16" s="73">
        <f t="shared" si="2"/>
        <v>0.17246785094520961</v>
      </c>
      <c r="V16" s="73">
        <f t="shared" si="2"/>
        <v>0.16870920391459354</v>
      </c>
      <c r="W16" s="73">
        <f t="shared" si="2"/>
        <v>0.16451164601230109</v>
      </c>
      <c r="X16" s="73">
        <f t="shared" si="2"/>
        <v>5.6073917894324525</v>
      </c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</row>
    <row r="17" spans="1:38" x14ac:dyDescent="0.75">
      <c r="A17" s="72" t="s">
        <v>114</v>
      </c>
      <c r="B17" s="73">
        <f>B16</f>
        <v>-6</v>
      </c>
      <c r="C17" s="73">
        <f t="shared" ref="C17:X17" si="3">B17+C16</f>
        <v>-5.9289952941176471</v>
      </c>
      <c r="D17" s="73">
        <f t="shared" si="3"/>
        <v>-5.858199490462118</v>
      </c>
      <c r="E17" s="73">
        <f t="shared" si="3"/>
        <v>-5.7876140864293983</v>
      </c>
      <c r="F17" s="73">
        <f t="shared" si="3"/>
        <v>-5.7172405626422655</v>
      </c>
      <c r="G17" s="73">
        <f t="shared" si="3"/>
        <v>-5.6470803828771983</v>
      </c>
      <c r="H17" s="73">
        <f t="shared" si="3"/>
        <v>-5.5771349939934458</v>
      </c>
      <c r="I17" s="73">
        <f t="shared" si="3"/>
        <v>-6.6840872542119723</v>
      </c>
      <c r="J17" s="73">
        <f t="shared" si="3"/>
        <v>-6.6001286520490252</v>
      </c>
      <c r="K17" s="73">
        <f t="shared" si="3"/>
        <v>-6.516677795080879</v>
      </c>
      <c r="L17" s="73">
        <f t="shared" si="3"/>
        <v>-6.4336041316093757</v>
      </c>
      <c r="M17" s="73">
        <f t="shared" si="3"/>
        <v>-6.3509060034919056</v>
      </c>
      <c r="N17" s="73">
        <f t="shared" si="3"/>
        <v>-6.268457373782109</v>
      </c>
      <c r="O17" s="73">
        <f t="shared" si="3"/>
        <v>-6.0701556008779196</v>
      </c>
      <c r="P17" s="73">
        <f t="shared" si="3"/>
        <v>-5.875602291436711</v>
      </c>
      <c r="Q17" s="73">
        <f t="shared" si="3"/>
        <v>-5.6853415382589683</v>
      </c>
      <c r="R17" s="73">
        <f t="shared" si="3"/>
        <v>-5.4998593848933153</v>
      </c>
      <c r="S17" s="73">
        <f t="shared" si="3"/>
        <v>-5.3190202965727238</v>
      </c>
      <c r="T17" s="73">
        <f t="shared" si="3"/>
        <v>-5.1421381560892687</v>
      </c>
      <c r="U17" s="73">
        <f t="shared" si="3"/>
        <v>-4.9696703051440592</v>
      </c>
      <c r="V17" s="73">
        <f t="shared" si="3"/>
        <v>-4.8009611012294657</v>
      </c>
      <c r="W17" s="73">
        <f t="shared" si="3"/>
        <v>-4.6364494552171642</v>
      </c>
      <c r="X17" s="73">
        <f t="shared" si="3"/>
        <v>0.97094233421528831</v>
      </c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</row>
    <row r="19" spans="1:38" x14ac:dyDescent="0.75">
      <c r="A19" s="1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spans="1:38" x14ac:dyDescent="0.75">
      <c r="A20" s="6" t="s">
        <v>115</v>
      </c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x14ac:dyDescent="0.75">
      <c r="A21" s="75" t="s">
        <v>116</v>
      </c>
      <c r="B21" s="76">
        <f>IFERROR((1+IRR(B9:X9))^12-1,0)</f>
        <v>8.8041284944556653E-2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x14ac:dyDescent="0.75">
      <c r="A22" s="75" t="s">
        <v>117</v>
      </c>
      <c r="B22" s="77">
        <f>SUM(B8:X8)/ABS(SUM(B7:X7))</f>
        <v>1.135295243292294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75">
      <c r="A23" s="75" t="s">
        <v>118</v>
      </c>
      <c r="B23" s="76">
        <f>IFERROR((1+IRR(B16:X16))^12-1,0)</f>
        <v>8.8041284944553988E-2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spans="1:38" x14ac:dyDescent="0.75">
      <c r="A24" s="75" t="s">
        <v>119</v>
      </c>
      <c r="B24" s="77">
        <f>SUM(B15:X15)/ABS(SUM(B14:X14))</f>
        <v>1.135295243292294</v>
      </c>
    </row>
    <row r="25" spans="1:38" x14ac:dyDescent="0.75">
      <c r="A25" s="75"/>
      <c r="B25" s="78"/>
    </row>
    <row r="26" spans="1:38" ht="19.5" customHeight="1" x14ac:dyDescent="0.95">
      <c r="A26" s="48" t="s">
        <v>89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5"/>
    </row>
    <row r="27" spans="1:38" x14ac:dyDescent="0.75">
      <c r="A27" s="6" t="s">
        <v>109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x14ac:dyDescent="0.75">
      <c r="A28" s="15"/>
      <c r="B28" s="70">
        <f>+Rollforward!B$5</f>
        <v>0</v>
      </c>
      <c r="C28" s="70">
        <f>+Rollforward!C$28</f>
        <v>1</v>
      </c>
      <c r="D28" s="70">
        <f>+Rollforward!D$28</f>
        <v>2</v>
      </c>
      <c r="E28" s="70">
        <f>+Rollforward!E$28</f>
        <v>3</v>
      </c>
      <c r="F28" s="70">
        <f>+Rollforward!F$28</f>
        <v>4</v>
      </c>
      <c r="G28" s="70">
        <f>+Rollforward!G$28</f>
        <v>5</v>
      </c>
      <c r="H28" s="70">
        <f>+Rollforward!H$28</f>
        <v>6</v>
      </c>
      <c r="I28" s="70">
        <f>+Rollforward!I$28</f>
        <v>7</v>
      </c>
      <c r="J28" s="70">
        <f>+Rollforward!J$28</f>
        <v>8</v>
      </c>
      <c r="K28" s="70">
        <f>+Rollforward!K$28</f>
        <v>9</v>
      </c>
      <c r="L28" s="70">
        <f>+Rollforward!L$28</f>
        <v>10</v>
      </c>
      <c r="M28" s="70">
        <f>+Rollforward!M$28</f>
        <v>11</v>
      </c>
      <c r="N28" s="70">
        <f>+Rollforward!N$28</f>
        <v>12</v>
      </c>
      <c r="O28" s="70">
        <f>+Rollforward!O$28</f>
        <v>13</v>
      </c>
      <c r="P28" s="70">
        <f>+Rollforward!P$28</f>
        <v>14</v>
      </c>
      <c r="Q28" s="70">
        <f>+Rollforward!Q$28</f>
        <v>15</v>
      </c>
      <c r="R28" s="70">
        <f>+Rollforward!R$28</f>
        <v>16</v>
      </c>
      <c r="S28" s="70">
        <f>+Rollforward!S$28</f>
        <v>17</v>
      </c>
      <c r="T28" s="70">
        <f>+Rollforward!T$28</f>
        <v>18</v>
      </c>
      <c r="U28" s="70">
        <f>+Rollforward!U$28</f>
        <v>19</v>
      </c>
      <c r="V28" s="70">
        <f>+Rollforward!V$28</f>
        <v>20</v>
      </c>
      <c r="W28" s="70">
        <f>+Rollforward!W$28</f>
        <v>21</v>
      </c>
      <c r="X28" s="70">
        <f>+Rollforward!X$28</f>
        <v>22</v>
      </c>
      <c r="Y28" s="70">
        <f>+Rollforward!Y$28</f>
        <v>23</v>
      </c>
      <c r="Z28" s="70">
        <f>+Rollforward!Z$28</f>
        <v>24</v>
      </c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</row>
    <row r="29" spans="1:38" ht="13.5" customHeight="1" x14ac:dyDescent="0.75">
      <c r="A29" s="15"/>
      <c r="B29" s="71" t="str">
        <f>+Rollforward!B$6</f>
        <v>Close / M0</v>
      </c>
      <c r="C29" s="71">
        <f>+Rollforward!C$29</f>
        <v>46053</v>
      </c>
      <c r="D29" s="71">
        <f>+Rollforward!D$29</f>
        <v>46081</v>
      </c>
      <c r="E29" s="71">
        <f>+Rollforward!E$29</f>
        <v>46112</v>
      </c>
      <c r="F29" s="71">
        <f>+Rollforward!F$29</f>
        <v>46142</v>
      </c>
      <c r="G29" s="71">
        <f>+Rollforward!G$29</f>
        <v>46173</v>
      </c>
      <c r="H29" s="71">
        <f>+Rollforward!H$29</f>
        <v>46203</v>
      </c>
      <c r="I29" s="71">
        <f>+Rollforward!I$29</f>
        <v>46234</v>
      </c>
      <c r="J29" s="71">
        <f>+Rollforward!J$29</f>
        <v>46265</v>
      </c>
      <c r="K29" s="71">
        <f>+Rollforward!K$29</f>
        <v>46295</v>
      </c>
      <c r="L29" s="71">
        <f>+Rollforward!L$29</f>
        <v>46326</v>
      </c>
      <c r="M29" s="71">
        <f>+Rollforward!M$29</f>
        <v>46356</v>
      </c>
      <c r="N29" s="71">
        <f>+Rollforward!N$29</f>
        <v>46387</v>
      </c>
      <c r="O29" s="71">
        <f>+Rollforward!O$29</f>
        <v>46418</v>
      </c>
      <c r="P29" s="71">
        <f>+Rollforward!P$29</f>
        <v>46446</v>
      </c>
      <c r="Q29" s="71">
        <f>+Rollforward!Q$29</f>
        <v>46477</v>
      </c>
      <c r="R29" s="71">
        <f>+Rollforward!R$29</f>
        <v>46507</v>
      </c>
      <c r="S29" s="71">
        <f>+Rollforward!S$29</f>
        <v>46538</v>
      </c>
      <c r="T29" s="71">
        <f>+Rollforward!T$29</f>
        <v>46568</v>
      </c>
      <c r="U29" s="71">
        <f>+Rollforward!U$29</f>
        <v>46599</v>
      </c>
      <c r="V29" s="71">
        <f>+Rollforward!V$29</f>
        <v>46630</v>
      </c>
      <c r="W29" s="71">
        <f>+Rollforward!W$29</f>
        <v>46660</v>
      </c>
      <c r="X29" s="71">
        <f>+Rollforward!X$29</f>
        <v>46691</v>
      </c>
      <c r="Y29" s="71">
        <f>+Rollforward!Y$29</f>
        <v>46721</v>
      </c>
      <c r="Z29" s="71">
        <f>+Rollforward!Z$29</f>
        <v>46752</v>
      </c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</row>
    <row r="30" spans="1:38" x14ac:dyDescent="0.75">
      <c r="A30" s="6" t="s">
        <v>110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x14ac:dyDescent="0.75">
      <c r="A31" s="8" t="s">
        <v>111</v>
      </c>
      <c r="B31" s="18">
        <f>-Sources_Uses!$B$11</f>
        <v>-45</v>
      </c>
      <c r="C31" s="18">
        <f>IF(C$28=Assumptions!$B$18,-Assumptions!$B$20,0)</f>
        <v>0</v>
      </c>
      <c r="D31" s="18">
        <f>IF(D$28=Assumptions!$B$18,-Assumptions!$B$20,0)</f>
        <v>0</v>
      </c>
      <c r="E31" s="18">
        <f>IF(E$28=Assumptions!$B$18,-Assumptions!$B$20,0)</f>
        <v>0</v>
      </c>
      <c r="F31" s="18">
        <f>IF(F$28=Assumptions!$B$18,-Assumptions!$B$20,0)</f>
        <v>0</v>
      </c>
      <c r="G31" s="18">
        <f>IF(G$28=Assumptions!$B$18,-Assumptions!$B$20,0)</f>
        <v>0</v>
      </c>
      <c r="H31" s="18">
        <f>IF(H$28=Assumptions!$B$18,-Assumptions!$B$20,0)</f>
        <v>0</v>
      </c>
      <c r="I31" s="18">
        <f>IF(I$28=Assumptions!$B$18,-Assumptions!$B$20,0)</f>
        <v>-8.8235294117647065</v>
      </c>
      <c r="J31" s="18">
        <f>IF(J$28=Assumptions!$B$18,-Assumptions!$B$20,0)</f>
        <v>0</v>
      </c>
      <c r="K31" s="18">
        <f>IF(K$28=Assumptions!$B$18,-Assumptions!$B$20,0)</f>
        <v>0</v>
      </c>
      <c r="L31" s="18">
        <f>IF(L$28=Assumptions!$B$18,-Assumptions!$B$20,0)</f>
        <v>0</v>
      </c>
      <c r="M31" s="18">
        <f>IF(M$28=Assumptions!$B$18,-Assumptions!$B$20,0)</f>
        <v>0</v>
      </c>
      <c r="N31" s="18">
        <f>IF(N$28=Assumptions!$B$18,-Assumptions!$B$20,0)</f>
        <v>0</v>
      </c>
      <c r="O31" s="18">
        <f>-Assumptions!$G$39*Assumptions!$B$16</f>
        <v>-4.4117647058823533</v>
      </c>
      <c r="P31" s="18">
        <f>IF(P$28=Assumptions!$B$18,-Assumptions!$B$20,0)</f>
        <v>0</v>
      </c>
      <c r="Q31" s="18">
        <f>IF(Q$28=Assumptions!$B$18,-Assumptions!$B$20,0)</f>
        <v>0</v>
      </c>
      <c r="R31" s="18">
        <f>IF(R$28=Assumptions!$B$18,-Assumptions!$B$20,0)</f>
        <v>0</v>
      </c>
      <c r="S31" s="18">
        <f>IF(S$28=Assumptions!$B$18,-Assumptions!$B$20,0)</f>
        <v>0</v>
      </c>
      <c r="T31" s="18">
        <f>IF(T$28=Assumptions!$B$18,-Assumptions!$B$20,0)</f>
        <v>0</v>
      </c>
      <c r="U31" s="18">
        <f>IF(U$28=Assumptions!$B$18,-Assumptions!$B$20,0)</f>
        <v>0</v>
      </c>
      <c r="V31" s="18">
        <f>IF(V$28=Assumptions!$B$18,-Assumptions!$B$20,0)</f>
        <v>0</v>
      </c>
      <c r="W31" s="18">
        <f>IF(W$28=Assumptions!$B$18,-Assumptions!$B$20,0)</f>
        <v>0</v>
      </c>
      <c r="X31" s="18">
        <f>IF(X$28=Assumptions!$B$18,-Assumptions!$B$20,0)</f>
        <v>0</v>
      </c>
      <c r="Y31" s="18">
        <f>IF(Y$28=Assumptions!$B$18,-Assumptions!$B$20,0)</f>
        <v>0</v>
      </c>
      <c r="Z31" s="18">
        <f>IF(Z$28=Assumptions!$B$18,-Assumptions!$B$20,0)</f>
        <v>0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 spans="1:38" ht="15" customHeight="1" x14ac:dyDescent="0.75">
      <c r="A32" s="8" t="s">
        <v>112</v>
      </c>
      <c r="B32" s="79"/>
      <c r="C32" s="18">
        <f>Waterfall!C$46*Assumptions!$B$16</f>
        <v>0.39404411764705921</v>
      </c>
      <c r="D32" s="18">
        <f>Waterfall!D$46*Assumptions!$B$16</f>
        <v>0.39402444117647062</v>
      </c>
      <c r="E32" s="18">
        <f>Waterfall!E$46*Assumptions!$B$16</f>
        <v>0.39400476565035308</v>
      </c>
      <c r="F32" s="18">
        <f>Waterfall!F$46*Assumptions!$B$16</f>
        <v>0.39398263174594905</v>
      </c>
      <c r="G32" s="18">
        <f>Waterfall!G$46*Assumptions!$B$16</f>
        <v>0.39396049903677582</v>
      </c>
      <c r="H32" s="18">
        <f>Waterfall!H$46*Assumptions!$B$16</f>
        <v>0.3939359084656574</v>
      </c>
      <c r="I32" s="18">
        <f>Waterfall!I$46*Assumptions!$B$16</f>
        <v>0.39391131936997292</v>
      </c>
      <c r="J32" s="18">
        <f>Waterfall!J$46*Assumptions!$B$16</f>
        <v>0.47587448462931525</v>
      </c>
      <c r="K32" s="18">
        <f>Waterfall!K$46*Assumptions!$B$16</f>
        <v>0.47584792976008627</v>
      </c>
      <c r="L32" s="18">
        <f>Waterfall!L$46*Assumptions!$B$16</f>
        <v>0.47582137632482036</v>
      </c>
      <c r="M32" s="18">
        <f>Waterfall!M$46*Assumptions!$B$16</f>
        <v>0.47579777454581568</v>
      </c>
      <c r="N32" s="18">
        <f>Waterfall!N$46*Assumptions!$B$16</f>
        <v>0.47577417389969634</v>
      </c>
      <c r="O32" s="18">
        <f>Waterfall!O$46*Assumptions!$B$16</f>
        <v>0.47575057438640783</v>
      </c>
      <c r="P32" s="18">
        <f>Waterfall!P$46*Assumptions!$B$16</f>
        <v>0.51671962306471952</v>
      </c>
      <c r="Q32" s="18">
        <f>Waterfall!Q$46*Assumptions!$B$16</f>
        <v>0.51669405816987135</v>
      </c>
      <c r="R32" s="18">
        <f>Waterfall!R$46*Assumptions!$B$16</f>
        <v>0.51666849450213792</v>
      </c>
      <c r="S32" s="18">
        <f>Waterfall!S$46*Assumptions!$B$16</f>
        <v>0.51664293206146072</v>
      </c>
      <c r="T32" s="18">
        <f>Waterfall!T$46*Assumptions!$B$16</f>
        <v>0.51661737084778081</v>
      </c>
      <c r="U32" s="18">
        <f>Waterfall!U$46*Assumptions!$B$16</f>
        <v>0.51659181086103889</v>
      </c>
      <c r="V32" s="18">
        <f>Waterfall!V$46*Assumptions!$B$16</f>
        <v>0.5165662521011759</v>
      </c>
      <c r="W32" s="18">
        <f>Waterfall!W$46*Assumptions!$B$16</f>
        <v>1.5910515810500629</v>
      </c>
      <c r="X32" s="18">
        <f>Waterfall!X$46*Assumptions!$B$16</f>
        <v>1.560841223091028</v>
      </c>
      <c r="Y32" s="18">
        <f>Waterfall!Y$46*Assumptions!$B$16</f>
        <v>1.531198819861622</v>
      </c>
      <c r="Z32" s="18">
        <f>Waterfall!Z$46*Assumptions!$B$16</f>
        <v>54.965434786956358</v>
      </c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1:38" ht="15" customHeight="1" x14ac:dyDescent="0.75">
      <c r="A33" s="72" t="s">
        <v>113</v>
      </c>
      <c r="B33" s="73">
        <f t="shared" ref="B33:Z33" si="4">B31+B32</f>
        <v>-45</v>
      </c>
      <c r="C33" s="73">
        <f t="shared" si="4"/>
        <v>0.39404411764705921</v>
      </c>
      <c r="D33" s="73">
        <f t="shared" si="4"/>
        <v>0.39402444117647062</v>
      </c>
      <c r="E33" s="73">
        <f t="shared" si="4"/>
        <v>0.39400476565035308</v>
      </c>
      <c r="F33" s="73">
        <f t="shared" si="4"/>
        <v>0.39398263174594905</v>
      </c>
      <c r="G33" s="73">
        <f t="shared" si="4"/>
        <v>0.39396049903677582</v>
      </c>
      <c r="H33" s="73">
        <f t="shared" si="4"/>
        <v>0.3939359084656574</v>
      </c>
      <c r="I33" s="73">
        <f t="shared" si="4"/>
        <v>-8.4296180923947333</v>
      </c>
      <c r="J33" s="73">
        <f t="shared" si="4"/>
        <v>0.47587448462931525</v>
      </c>
      <c r="K33" s="73">
        <f t="shared" si="4"/>
        <v>0.47584792976008627</v>
      </c>
      <c r="L33" s="73">
        <f t="shared" si="4"/>
        <v>0.47582137632482036</v>
      </c>
      <c r="M33" s="73">
        <f t="shared" si="4"/>
        <v>0.47579777454581568</v>
      </c>
      <c r="N33" s="73">
        <f t="shared" si="4"/>
        <v>0.47577417389969634</v>
      </c>
      <c r="O33" s="73">
        <f t="shared" si="4"/>
        <v>-3.9360141314959454</v>
      </c>
      <c r="P33" s="73">
        <f t="shared" si="4"/>
        <v>0.51671962306471952</v>
      </c>
      <c r="Q33" s="73">
        <f t="shared" si="4"/>
        <v>0.51669405816987135</v>
      </c>
      <c r="R33" s="73">
        <f t="shared" si="4"/>
        <v>0.51666849450213792</v>
      </c>
      <c r="S33" s="73">
        <f t="shared" si="4"/>
        <v>0.51664293206146072</v>
      </c>
      <c r="T33" s="73">
        <f t="shared" si="4"/>
        <v>0.51661737084778081</v>
      </c>
      <c r="U33" s="73">
        <f t="shared" si="4"/>
        <v>0.51659181086103889</v>
      </c>
      <c r="V33" s="73">
        <f t="shared" si="4"/>
        <v>0.5165662521011759</v>
      </c>
      <c r="W33" s="73">
        <f t="shared" si="4"/>
        <v>1.5910515810500629</v>
      </c>
      <c r="X33" s="73">
        <f t="shared" si="4"/>
        <v>1.560841223091028</v>
      </c>
      <c r="Y33" s="73">
        <f t="shared" si="4"/>
        <v>1.531198819861622</v>
      </c>
      <c r="Z33" s="73">
        <f t="shared" si="4"/>
        <v>54.965434786956358</v>
      </c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</row>
    <row r="34" spans="1:38" x14ac:dyDescent="0.75">
      <c r="A34" s="72" t="s">
        <v>114</v>
      </c>
      <c r="B34" s="73">
        <f>B33</f>
        <v>-45</v>
      </c>
      <c r="C34" s="73">
        <f t="shared" ref="C34:Z34" si="5">B34+C33</f>
        <v>-44.605955882352944</v>
      </c>
      <c r="D34" s="73">
        <f t="shared" si="5"/>
        <v>-44.211931441176475</v>
      </c>
      <c r="E34" s="73">
        <f t="shared" si="5"/>
        <v>-43.817926675526124</v>
      </c>
      <c r="F34" s="73">
        <f t="shared" si="5"/>
        <v>-43.423944043780175</v>
      </c>
      <c r="G34" s="73">
        <f t="shared" si="5"/>
        <v>-43.029983544743402</v>
      </c>
      <c r="H34" s="73">
        <f t="shared" si="5"/>
        <v>-42.636047636277745</v>
      </c>
      <c r="I34" s="73">
        <f t="shared" si="5"/>
        <v>-51.065665728672478</v>
      </c>
      <c r="J34" s="73">
        <f t="shared" si="5"/>
        <v>-50.589791244043163</v>
      </c>
      <c r="K34" s="73">
        <f t="shared" si="5"/>
        <v>-50.113943314283077</v>
      </c>
      <c r="L34" s="73">
        <f t="shared" si="5"/>
        <v>-49.638121937958253</v>
      </c>
      <c r="M34" s="73">
        <f t="shared" si="5"/>
        <v>-49.162324163412435</v>
      </c>
      <c r="N34" s="73">
        <f t="shared" si="5"/>
        <v>-48.686549989512741</v>
      </c>
      <c r="O34" s="73">
        <f t="shared" si="5"/>
        <v>-52.622564121008686</v>
      </c>
      <c r="P34" s="73">
        <f t="shared" si="5"/>
        <v>-52.10584449794397</v>
      </c>
      <c r="Q34" s="73">
        <f t="shared" si="5"/>
        <v>-51.589150439774102</v>
      </c>
      <c r="R34" s="73">
        <f t="shared" si="5"/>
        <v>-51.072481945271967</v>
      </c>
      <c r="S34" s="73">
        <f t="shared" si="5"/>
        <v>-50.555839013210509</v>
      </c>
      <c r="T34" s="73">
        <f t="shared" si="5"/>
        <v>-50.039221642362726</v>
      </c>
      <c r="U34" s="73">
        <f t="shared" si="5"/>
        <v>-49.522629831501689</v>
      </c>
      <c r="V34" s="73">
        <f t="shared" si="5"/>
        <v>-49.006063579400511</v>
      </c>
      <c r="W34" s="73">
        <f t="shared" si="5"/>
        <v>-47.415011998350451</v>
      </c>
      <c r="X34" s="73">
        <f t="shared" si="5"/>
        <v>-45.854170775259426</v>
      </c>
      <c r="Y34" s="73">
        <f t="shared" si="5"/>
        <v>-44.322971955397804</v>
      </c>
      <c r="Z34" s="73">
        <f t="shared" si="5"/>
        <v>10.642462831558554</v>
      </c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</row>
    <row r="35" spans="1:38" x14ac:dyDescent="0.75">
      <c r="A35" s="15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x14ac:dyDescent="0.75">
      <c r="A36" s="15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x14ac:dyDescent="0.75">
      <c r="A37" s="15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x14ac:dyDescent="0.75">
      <c r="A38" s="6" t="s">
        <v>67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75">
      <c r="A39" s="8" t="s">
        <v>111</v>
      </c>
      <c r="B39" s="18">
        <f>-Sources_Uses!$B$12</f>
        <v>-6</v>
      </c>
      <c r="C39" s="18">
        <f>IF(C$4=Assumptions!$B$18,-Assumptions!$B$21,0)</f>
        <v>0</v>
      </c>
      <c r="D39" s="18">
        <f>IF(D$4=Assumptions!$B$18,-Assumptions!$B$21,0)</f>
        <v>0</v>
      </c>
      <c r="E39" s="18">
        <f>IF(E$4=Assumptions!$B$18,-Assumptions!$B$21,0)</f>
        <v>0</v>
      </c>
      <c r="F39" s="18">
        <f>IF(F$4=Assumptions!$B$18,-Assumptions!$B$21,0)</f>
        <v>0</v>
      </c>
      <c r="G39" s="18">
        <f>IF(G$4=Assumptions!$B$18,-Assumptions!$B$21,0)</f>
        <v>0</v>
      </c>
      <c r="H39" s="18">
        <f>IF(H$4=Assumptions!$B$18,-Assumptions!$B$21,0)</f>
        <v>0</v>
      </c>
      <c r="I39" s="18">
        <f>IF(I$4=Assumptions!$B$18,-Assumptions!$B$21,0)</f>
        <v>-1.1764705882352942</v>
      </c>
      <c r="J39" s="18">
        <f>IF(J$4=Assumptions!$B$18,-Assumptions!$B$21,0)</f>
        <v>0</v>
      </c>
      <c r="K39" s="18">
        <f>IF(K$4=Assumptions!$B$18,-Assumptions!$B$21,0)</f>
        <v>0</v>
      </c>
      <c r="L39" s="18">
        <f>IF(L$4=Assumptions!$B$18,-Assumptions!$B$21,0)</f>
        <v>0</v>
      </c>
      <c r="M39" s="18">
        <f>IF(M$4=Assumptions!$B$18,-Assumptions!$B$21,0)</f>
        <v>0</v>
      </c>
      <c r="N39" s="18">
        <f>IF(N$4=Assumptions!$B$18,-Assumptions!$B$21,0)</f>
        <v>0</v>
      </c>
      <c r="O39" s="18">
        <f>-Assumptions!$G$39*Assumptions!$B$17</f>
        <v>-0.58823529411764708</v>
      </c>
      <c r="P39" s="18">
        <f>IF(P$4=Assumptions!$B$18,-Assumptions!$B$21,0)</f>
        <v>0</v>
      </c>
      <c r="Q39" s="18">
        <f>IF(Q$4=Assumptions!$B$18,-Assumptions!$B$21,0)</f>
        <v>0</v>
      </c>
      <c r="R39" s="18">
        <f>IF(R$4=Assumptions!$B$18,-Assumptions!$B$21,0)</f>
        <v>0</v>
      </c>
      <c r="S39" s="18">
        <f>IF(S$4=Assumptions!$B$18,-Assumptions!$B$21,0)</f>
        <v>0</v>
      </c>
      <c r="T39" s="18">
        <f>IF(T$4=Assumptions!$B$18,-Assumptions!$B$21,0)</f>
        <v>0</v>
      </c>
      <c r="U39" s="18">
        <f>IF(U$4=Assumptions!$B$18,-Assumptions!$B$21,0)</f>
        <v>0</v>
      </c>
      <c r="V39" s="18">
        <f>IF(V$4=Assumptions!$B$18,-Assumptions!$B$21,0)</f>
        <v>0</v>
      </c>
      <c r="W39" s="18">
        <f>IF(W$4=Assumptions!$B$18,-Assumptions!$B$21,0)</f>
        <v>0</v>
      </c>
      <c r="X39" s="18">
        <f>IF(X$4=Assumptions!$B$18,-Assumptions!$B$21,0)</f>
        <v>0</v>
      </c>
      <c r="Y39" s="18">
        <f>IF(Y$4=Assumptions!$B$18,-Assumptions!$B$21,0)</f>
        <v>0</v>
      </c>
      <c r="Z39" s="18">
        <f>IF(Z$4=Assumptions!$B$18,-Assumptions!$B$21,0)</f>
        <v>0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spans="1:38" ht="15" customHeight="1" x14ac:dyDescent="0.75">
      <c r="A40" s="8" t="s">
        <v>112</v>
      </c>
      <c r="B40" s="18">
        <f>+Waterfall!B$21*Assumptions!$B$17</f>
        <v>0</v>
      </c>
      <c r="C40" s="18">
        <f>Waterfall!C$46*Assumptions!$B$17</f>
        <v>5.2539215686274558E-2</v>
      </c>
      <c r="D40" s="18">
        <f>Waterfall!D$46*Assumptions!$B$17</f>
        <v>5.2536592156862752E-2</v>
      </c>
      <c r="E40" s="18">
        <f>Waterfall!E$46*Assumptions!$B$17</f>
        <v>5.2533968753380407E-2</v>
      </c>
      <c r="F40" s="18">
        <f>Waterfall!F$46*Assumptions!$B$17</f>
        <v>5.2531017566126541E-2</v>
      </c>
      <c r="G40" s="18">
        <f>Waterfall!G$46*Assumptions!$B$17</f>
        <v>5.2528066538236773E-2</v>
      </c>
      <c r="H40" s="18">
        <f>Waterfall!H$46*Assumptions!$B$17</f>
        <v>5.2524787795420989E-2</v>
      </c>
      <c r="I40" s="18">
        <f>Waterfall!I$46*Assumptions!$B$17</f>
        <v>5.2521509249329724E-2</v>
      </c>
      <c r="J40" s="18">
        <f>Waterfall!J$46*Assumptions!$B$17</f>
        <v>6.3449931283908703E-2</v>
      </c>
      <c r="K40" s="18">
        <f>Waterfall!K$46*Assumptions!$B$17</f>
        <v>6.3446390634678163E-2</v>
      </c>
      <c r="L40" s="18">
        <f>Waterfall!L$46*Assumptions!$B$17</f>
        <v>6.3442850176642723E-2</v>
      </c>
      <c r="M40" s="18">
        <f>Waterfall!M$46*Assumptions!$B$17</f>
        <v>6.3439703272775427E-2</v>
      </c>
      <c r="N40" s="18">
        <f>Waterfall!N$46*Assumptions!$B$17</f>
        <v>6.3436556519959511E-2</v>
      </c>
      <c r="O40" s="18">
        <f>Waterfall!O$46*Assumptions!$B$17</f>
        <v>6.3433409918187716E-2</v>
      </c>
      <c r="P40" s="18">
        <f>Waterfall!P$46*Assumptions!$B$17</f>
        <v>6.88959497419626E-2</v>
      </c>
      <c r="Q40" s="18">
        <f>Waterfall!Q$46*Assumptions!$B$17</f>
        <v>6.8892541089316181E-2</v>
      </c>
      <c r="R40" s="18">
        <f>Waterfall!R$46*Assumptions!$B$17</f>
        <v>6.888913260028505E-2</v>
      </c>
      <c r="S40" s="18">
        <f>Waterfall!S$46*Assumptions!$B$17</f>
        <v>6.8885724274861435E-2</v>
      </c>
      <c r="T40" s="18">
        <f>Waterfall!T$46*Assumptions!$B$17</f>
        <v>6.888231611303744E-2</v>
      </c>
      <c r="U40" s="18">
        <f>Waterfall!U$46*Assumptions!$B$17</f>
        <v>6.8878908114805196E-2</v>
      </c>
      <c r="V40" s="18">
        <f>Waterfall!V$46*Assumptions!$B$17</f>
        <v>6.8875500280156779E-2</v>
      </c>
      <c r="W40" s="18">
        <f>Waterfall!W$46*Assumptions!$B$17</f>
        <v>0.21214021080667506</v>
      </c>
      <c r="X40" s="18">
        <f>Waterfall!X$46*Assumptions!$B$17</f>
        <v>0.20811216307880376</v>
      </c>
      <c r="Y40" s="18">
        <f>Waterfall!Y$46*Assumptions!$B$17</f>
        <v>0.20415984264821627</v>
      </c>
      <c r="Z40" s="18">
        <f>Waterfall!Z$46*Assumptions!$B$17</f>
        <v>7.328724638260848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 spans="1:38" ht="15" customHeight="1" x14ac:dyDescent="0.75">
      <c r="A41" s="72" t="s">
        <v>113</v>
      </c>
      <c r="B41" s="73">
        <f t="shared" ref="B41:Z41" si="6">B39+B40</f>
        <v>-6</v>
      </c>
      <c r="C41" s="73">
        <f t="shared" si="6"/>
        <v>5.2539215686274558E-2</v>
      </c>
      <c r="D41" s="73">
        <f t="shared" si="6"/>
        <v>5.2536592156862752E-2</v>
      </c>
      <c r="E41" s="73">
        <f t="shared" si="6"/>
        <v>5.2533968753380407E-2</v>
      </c>
      <c r="F41" s="73">
        <f t="shared" si="6"/>
        <v>5.2531017566126541E-2</v>
      </c>
      <c r="G41" s="73">
        <f t="shared" si="6"/>
        <v>5.2528066538236773E-2</v>
      </c>
      <c r="H41" s="73">
        <f t="shared" si="6"/>
        <v>5.2524787795420989E-2</v>
      </c>
      <c r="I41" s="73">
        <f t="shared" si="6"/>
        <v>-1.1239490789859645</v>
      </c>
      <c r="J41" s="73">
        <f t="shared" si="6"/>
        <v>6.3449931283908703E-2</v>
      </c>
      <c r="K41" s="73">
        <f t="shared" si="6"/>
        <v>6.3446390634678163E-2</v>
      </c>
      <c r="L41" s="73">
        <f t="shared" si="6"/>
        <v>6.3442850176642723E-2</v>
      </c>
      <c r="M41" s="73">
        <f t="shared" si="6"/>
        <v>6.3439703272775427E-2</v>
      </c>
      <c r="N41" s="73">
        <f t="shared" si="6"/>
        <v>6.3436556519959511E-2</v>
      </c>
      <c r="O41" s="73">
        <f t="shared" si="6"/>
        <v>-0.52480188419945939</v>
      </c>
      <c r="P41" s="73">
        <f t="shared" si="6"/>
        <v>6.88959497419626E-2</v>
      </c>
      <c r="Q41" s="73">
        <f t="shared" si="6"/>
        <v>6.8892541089316181E-2</v>
      </c>
      <c r="R41" s="73">
        <f t="shared" si="6"/>
        <v>6.888913260028505E-2</v>
      </c>
      <c r="S41" s="73">
        <f t="shared" si="6"/>
        <v>6.8885724274861435E-2</v>
      </c>
      <c r="T41" s="73">
        <f t="shared" si="6"/>
        <v>6.888231611303744E-2</v>
      </c>
      <c r="U41" s="73">
        <f t="shared" si="6"/>
        <v>6.8878908114805196E-2</v>
      </c>
      <c r="V41" s="73">
        <f t="shared" si="6"/>
        <v>6.8875500280156779E-2</v>
      </c>
      <c r="W41" s="73">
        <f t="shared" si="6"/>
        <v>0.21214021080667506</v>
      </c>
      <c r="X41" s="73">
        <f t="shared" si="6"/>
        <v>0.20811216307880376</v>
      </c>
      <c r="Y41" s="73">
        <f t="shared" si="6"/>
        <v>0.20415984264821627</v>
      </c>
      <c r="Z41" s="73">
        <f t="shared" si="6"/>
        <v>7.328724638260848</v>
      </c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</row>
    <row r="42" spans="1:38" x14ac:dyDescent="0.75">
      <c r="A42" s="72" t="s">
        <v>114</v>
      </c>
      <c r="B42" s="73">
        <f>B41</f>
        <v>-6</v>
      </c>
      <c r="C42" s="73">
        <f t="shared" ref="C42:Z42" si="7">B42+C41</f>
        <v>-5.9474607843137255</v>
      </c>
      <c r="D42" s="73">
        <f t="shared" si="7"/>
        <v>-5.8949241921568625</v>
      </c>
      <c r="E42" s="73">
        <f t="shared" si="7"/>
        <v>-5.8423902234034824</v>
      </c>
      <c r="F42" s="73">
        <f t="shared" si="7"/>
        <v>-5.7898592058373559</v>
      </c>
      <c r="G42" s="73">
        <f t="shared" si="7"/>
        <v>-5.7373311392991191</v>
      </c>
      <c r="H42" s="73">
        <f t="shared" si="7"/>
        <v>-5.6848063515036982</v>
      </c>
      <c r="I42" s="73">
        <f t="shared" si="7"/>
        <v>-6.8087554304896631</v>
      </c>
      <c r="J42" s="73">
        <f t="shared" si="7"/>
        <v>-6.7453054992057542</v>
      </c>
      <c r="K42" s="73">
        <f t="shared" si="7"/>
        <v>-6.6818591085710759</v>
      </c>
      <c r="L42" s="73">
        <f t="shared" si="7"/>
        <v>-6.6184162583944328</v>
      </c>
      <c r="M42" s="73">
        <f t="shared" si="7"/>
        <v>-6.554976555121657</v>
      </c>
      <c r="N42" s="73">
        <f t="shared" si="7"/>
        <v>-6.4915399986016977</v>
      </c>
      <c r="O42" s="73">
        <f t="shared" si="7"/>
        <v>-7.0163418828011572</v>
      </c>
      <c r="P42" s="73">
        <f t="shared" si="7"/>
        <v>-6.9474459330591944</v>
      </c>
      <c r="Q42" s="73">
        <f t="shared" si="7"/>
        <v>-6.878553391969878</v>
      </c>
      <c r="R42" s="73">
        <f t="shared" si="7"/>
        <v>-6.8096642593695931</v>
      </c>
      <c r="S42" s="73">
        <f t="shared" si="7"/>
        <v>-6.7407785350947318</v>
      </c>
      <c r="T42" s="73">
        <f t="shared" si="7"/>
        <v>-6.6718962189816944</v>
      </c>
      <c r="U42" s="73">
        <f t="shared" si="7"/>
        <v>-6.603017310866889</v>
      </c>
      <c r="V42" s="73">
        <f t="shared" si="7"/>
        <v>-6.5341418105867319</v>
      </c>
      <c r="W42" s="73">
        <f t="shared" si="7"/>
        <v>-6.3220015997800569</v>
      </c>
      <c r="X42" s="73">
        <f t="shared" si="7"/>
        <v>-6.1138894367012533</v>
      </c>
      <c r="Y42" s="73">
        <f t="shared" si="7"/>
        <v>-5.9097295940530374</v>
      </c>
      <c r="Z42" s="73">
        <f t="shared" si="7"/>
        <v>1.4189950442078105</v>
      </c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</row>
    <row r="45" spans="1:38" x14ac:dyDescent="0.75">
      <c r="A45" s="1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x14ac:dyDescent="0.75">
      <c r="A46" s="6" t="s">
        <v>115</v>
      </c>
      <c r="B46" s="6"/>
      <c r="C46" s="6"/>
      <c r="D46" s="6"/>
      <c r="E46" s="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x14ac:dyDescent="0.75">
      <c r="A47" s="75" t="s">
        <v>116</v>
      </c>
      <c r="B47" s="76">
        <f>IFERROR((1+IRR(B33:Z33))^12-1,0)</f>
        <v>0.10565319647402815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x14ac:dyDescent="0.75">
      <c r="A48" s="75" t="s">
        <v>117</v>
      </c>
      <c r="B48" s="77">
        <f>SUM(B32:Z32)/ABS(SUM(B31:Z31))</f>
        <v>1.1827493617540359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x14ac:dyDescent="0.75">
      <c r="A49" s="75" t="s">
        <v>118</v>
      </c>
      <c r="B49" s="76">
        <f>IFERROR((1+IRR(B41:Z41))^12-1,0)</f>
        <v>0.10565319647402527</v>
      </c>
    </row>
    <row r="50" spans="1:38" x14ac:dyDescent="0.75">
      <c r="A50" s="75" t="s">
        <v>119</v>
      </c>
      <c r="B50" s="77">
        <f>SUM(B40:Z40)/ABS(SUM(B39:Z39))</f>
        <v>1.1827493617540361</v>
      </c>
    </row>
    <row r="52" spans="1:38" ht="19.5" customHeight="1" x14ac:dyDescent="0.95">
      <c r="A52" s="48" t="s">
        <v>90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AA52" s="5"/>
    </row>
    <row r="53" spans="1:38" x14ac:dyDescent="0.75">
      <c r="A53" s="6" t="s">
        <v>109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x14ac:dyDescent="0.75">
      <c r="A54" s="15"/>
      <c r="B54" s="70">
        <f>+Rollforward!B$5</f>
        <v>0</v>
      </c>
      <c r="C54" s="70">
        <f>+Rollforward!C$5</f>
        <v>1</v>
      </c>
      <c r="D54" s="70">
        <f>+Rollforward!D$5</f>
        <v>2</v>
      </c>
      <c r="E54" s="70">
        <f>+Rollforward!E$5</f>
        <v>3</v>
      </c>
      <c r="F54" s="70">
        <f>+Rollforward!F$5</f>
        <v>4</v>
      </c>
      <c r="G54" s="70">
        <f>+Rollforward!G$5</f>
        <v>5</v>
      </c>
      <c r="H54" s="70">
        <f>+Rollforward!H$5</f>
        <v>6</v>
      </c>
      <c r="I54" s="70">
        <f>+Rollforward!I$5</f>
        <v>7</v>
      </c>
      <c r="J54" s="70">
        <f>+Rollforward!J$5</f>
        <v>8</v>
      </c>
      <c r="K54" s="70">
        <f>+Rollforward!K$5</f>
        <v>9</v>
      </c>
      <c r="L54" s="70">
        <f>+Rollforward!L$5</f>
        <v>10</v>
      </c>
      <c r="M54" s="70">
        <f>+Rollforward!M$5</f>
        <v>11</v>
      </c>
      <c r="N54" s="70">
        <f>+Rollforward!N$5</f>
        <v>12</v>
      </c>
      <c r="O54" s="70">
        <f>+Rollforward!O$5</f>
        <v>13</v>
      </c>
      <c r="P54" s="70">
        <f>+Rollforward!P$5</f>
        <v>14</v>
      </c>
      <c r="Q54" s="70">
        <f>+Rollforward!Q$5</f>
        <v>15</v>
      </c>
      <c r="R54" s="70">
        <f>+Rollforward!R$5</f>
        <v>16</v>
      </c>
      <c r="S54" s="70">
        <f>+Rollforward!S$5</f>
        <v>17</v>
      </c>
      <c r="T54" s="70">
        <f>+Rollforward!T$5</f>
        <v>18</v>
      </c>
      <c r="U54" s="70">
        <f>+Rollforward!U$5</f>
        <v>19</v>
      </c>
      <c r="V54" s="70">
        <f>+Rollforward!V$5</f>
        <v>20</v>
      </c>
      <c r="W54" s="70">
        <f>+Rollforward!W$5</f>
        <v>21</v>
      </c>
      <c r="X54" s="70">
        <f>+Rollforward!X$5</f>
        <v>22</v>
      </c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</row>
    <row r="55" spans="1:38" ht="13.5" customHeight="1" x14ac:dyDescent="0.75">
      <c r="A55" s="15"/>
      <c r="B55" s="71" t="str">
        <f>+Rollforward!B$6</f>
        <v>Close / M0</v>
      </c>
      <c r="C55" s="71">
        <f>+Rollforward!C$6</f>
        <v>46053</v>
      </c>
      <c r="D55" s="71">
        <f>+Rollforward!D$6</f>
        <v>46081</v>
      </c>
      <c r="E55" s="71">
        <f>+Rollforward!E$6</f>
        <v>46112</v>
      </c>
      <c r="F55" s="71">
        <f>+Rollforward!F$6</f>
        <v>46142</v>
      </c>
      <c r="G55" s="71">
        <f>+Rollforward!G$6</f>
        <v>46173</v>
      </c>
      <c r="H55" s="71">
        <f>+Rollforward!H$6</f>
        <v>46203</v>
      </c>
      <c r="I55" s="71">
        <f>+Rollforward!I$6</f>
        <v>46234</v>
      </c>
      <c r="J55" s="71">
        <f>+Rollforward!J$6</f>
        <v>46265</v>
      </c>
      <c r="K55" s="71">
        <f>+Rollforward!K$6</f>
        <v>46295</v>
      </c>
      <c r="L55" s="71">
        <f>+Rollforward!L$6</f>
        <v>46326</v>
      </c>
      <c r="M55" s="71">
        <f>+Rollforward!M$6</f>
        <v>46356</v>
      </c>
      <c r="N55" s="71">
        <f>+Rollforward!N$6</f>
        <v>46387</v>
      </c>
      <c r="O55" s="71">
        <f>+Rollforward!O$6</f>
        <v>46418</v>
      </c>
      <c r="P55" s="71">
        <f>+Rollforward!P$6</f>
        <v>46446</v>
      </c>
      <c r="Q55" s="71">
        <f>+Rollforward!Q$6</f>
        <v>46477</v>
      </c>
      <c r="R55" s="71">
        <f>+Rollforward!R$6</f>
        <v>46507</v>
      </c>
      <c r="S55" s="71">
        <f>+Rollforward!S$6</f>
        <v>46538</v>
      </c>
      <c r="T55" s="71">
        <f>+Rollforward!T$6</f>
        <v>46568</v>
      </c>
      <c r="U55" s="71">
        <f>+Rollforward!U$6</f>
        <v>46599</v>
      </c>
      <c r="V55" s="71">
        <f>+Rollforward!V$6</f>
        <v>46630</v>
      </c>
      <c r="W55" s="71">
        <f>+Rollforward!W$6</f>
        <v>46660</v>
      </c>
      <c r="X55" s="71">
        <f>+Rollforward!X$6</f>
        <v>46691</v>
      </c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</row>
    <row r="56" spans="1:38" x14ac:dyDescent="0.75">
      <c r="A56" s="6" t="s">
        <v>110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x14ac:dyDescent="0.75">
      <c r="A57" s="8" t="s">
        <v>111</v>
      </c>
      <c r="B57" s="18">
        <f>-Sources_Uses!$B$11</f>
        <v>-45</v>
      </c>
      <c r="C57" s="18">
        <f>IF(C$4=Assumptions!$B$18,-Assumptions!$B$20,0)</f>
        <v>0</v>
      </c>
      <c r="D57" s="18">
        <f>IF(D$4=Assumptions!$B$18,-Assumptions!$B$20,0)</f>
        <v>0</v>
      </c>
      <c r="E57" s="18">
        <f>IF(E$4=Assumptions!$B$18,-Assumptions!$B$20,0)</f>
        <v>0</v>
      </c>
      <c r="F57" s="18">
        <f>IF(F$4=Assumptions!$B$18,-Assumptions!$B$20,0)</f>
        <v>0</v>
      </c>
      <c r="G57" s="18">
        <f>IF(G$4=Assumptions!$B$18,-Assumptions!$B$20,0)</f>
        <v>0</v>
      </c>
      <c r="H57" s="18">
        <f>IF(H$4=Assumptions!$B$18,-Assumptions!$B$20,0)</f>
        <v>0</v>
      </c>
      <c r="I57" s="18">
        <f>IF(AND(Tests!$E$6="Yes",I$4=Assumptions!$B$18),-Assumptions!$B$20,0)</f>
        <v>0</v>
      </c>
      <c r="J57" s="18">
        <f>IF(J$4=Assumptions!$B$18,-Assumptions!$B$20,0)</f>
        <v>0</v>
      </c>
      <c r="K57" s="18">
        <f>IF(K$4=Assumptions!$B$18,-Assumptions!$B$20,0)</f>
        <v>0</v>
      </c>
      <c r="L57" s="18">
        <f>IF(L$4=Assumptions!$B$18,-Assumptions!$B$20,0)</f>
        <v>0</v>
      </c>
      <c r="M57" s="18">
        <f>IF(M$4=Assumptions!$B$18,-Assumptions!$B$20,0)</f>
        <v>0</v>
      </c>
      <c r="N57" s="18">
        <f>IF(N$4=Assumptions!$B$18,-Assumptions!$B$20,0)</f>
        <v>0</v>
      </c>
      <c r="O57" s="18">
        <f>IF(O$4=Assumptions!$B$18,-Assumptions!$B$20,0)</f>
        <v>0</v>
      </c>
      <c r="P57" s="18">
        <f>IF(P$4=Assumptions!$B$18,-Assumptions!$B$20,0)</f>
        <v>0</v>
      </c>
      <c r="Q57" s="18">
        <f>IF(Q$4=Assumptions!$B$18,-Assumptions!$B$20,0)</f>
        <v>0</v>
      </c>
      <c r="R57" s="18">
        <f>IF(R$4=Assumptions!$B$18,-Assumptions!$B$20,0)</f>
        <v>0</v>
      </c>
      <c r="S57" s="18">
        <f>IF(S$4=Assumptions!$B$18,-Assumptions!$B$20,0)</f>
        <v>0</v>
      </c>
      <c r="T57" s="18">
        <f>IF(T$4=Assumptions!$B$18,-Assumptions!$B$20,0)</f>
        <v>0</v>
      </c>
      <c r="U57" s="18">
        <f>IF(U$4=Assumptions!$B$18,-Assumptions!$B$20,0)</f>
        <v>0</v>
      </c>
      <c r="V57" s="18">
        <f>IF(V$4=Assumptions!$B$18,-Assumptions!$B$20,0)</f>
        <v>0</v>
      </c>
      <c r="W57" s="18">
        <f>IF(W$4=Assumptions!$B$18,-Assumptions!$B$20,0)</f>
        <v>0</v>
      </c>
      <c r="X57" s="18">
        <f>IF(X$4=Assumptions!$B$18,-Assumptions!$B$20,0)</f>
        <v>0</v>
      </c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 spans="1:38" ht="15" customHeight="1" x14ac:dyDescent="0.75">
      <c r="A58" s="8" t="s">
        <v>112</v>
      </c>
      <c r="B58" s="18">
        <f>Waterfall!B$71*Assumptions!$B$16</f>
        <v>0</v>
      </c>
      <c r="C58" s="18">
        <f>Waterfall!C$71*Assumptions!$B$16</f>
        <v>0.5358235294117647</v>
      </c>
      <c r="D58" s="18">
        <f>Waterfall!D$71*Assumptions!$B$16</f>
        <v>0.84981551811764688</v>
      </c>
      <c r="E58" s="18">
        <f>Waterfall!E$71*Assumptions!$B$16</f>
        <v>0.84299885035306155</v>
      </c>
      <c r="F58" s="18">
        <f>Waterfall!F$71*Assumptions!$B$16</f>
        <v>0.83612187282757533</v>
      </c>
      <c r="G58" s="18">
        <f>Waterfall!G$71*Assumptions!$B$16</f>
        <v>0.82918702302566616</v>
      </c>
      <c r="H58" s="18">
        <f>Waterfall!H$71*Assumptions!$B$16</f>
        <v>1.336683177374357</v>
      </c>
      <c r="I58" s="18">
        <f>Waterfall!I$71*Assumptions!$B$16</f>
        <v>1.309946864961572</v>
      </c>
      <c r="J58" s="18">
        <f>Waterfall!J$71*Assumptions!$B$16</f>
        <v>1.2799397656932088</v>
      </c>
      <c r="K58" s="18">
        <f>Waterfall!K$71*Assumptions!$B$16</f>
        <v>1.2504705438969268</v>
      </c>
      <c r="L58" s="18">
        <f>Waterfall!L$71*Assumptions!$B$16</f>
        <v>1.2246753857214892</v>
      </c>
      <c r="M58" s="18">
        <f>Waterfall!M$71*Assumptions!$B$16</f>
        <v>1.1961844577892291</v>
      </c>
      <c r="N58" s="18">
        <f>Waterfall!N$71*Assumptions!$B$16</f>
        <v>1.1650651944933546</v>
      </c>
      <c r="O58" s="18">
        <f>Waterfall!O$71*Assumptions!$B$16</f>
        <v>1.1316727156358617</v>
      </c>
      <c r="P58" s="18">
        <f>Waterfall!P$71*Assumptions!$B$16</f>
        <v>1.0993284743370557</v>
      </c>
      <c r="Q58" s="18">
        <f>Waterfall!Q$71*Assumptions!$B$16</f>
        <v>1.0679968715263457</v>
      </c>
      <c r="R58" s="18">
        <f>Waterfall!R$71*Assumptions!$B$16</f>
        <v>1.0376435969893483</v>
      </c>
      <c r="S58" s="18">
        <f>Waterfall!S$71*Assumptions!$B$16</f>
        <v>1.0082355801025227</v>
      </c>
      <c r="T58" s="18">
        <f>Waterfall!T$71*Assumptions!$B$16</f>
        <v>0.97974094254220534</v>
      </c>
      <c r="U58" s="18">
        <f>Waterfall!U$71*Assumptions!$B$16</f>
        <v>0.95212895288551769</v>
      </c>
      <c r="V58" s="18">
        <f>Waterfall!V$71*Assumptions!$B$16</f>
        <v>0.92536998302419604</v>
      </c>
      <c r="W58" s="18">
        <f>Waterfall!W$71*Assumptions!$B$16</f>
        <v>0.89943546631582805</v>
      </c>
      <c r="X58" s="18">
        <f>Waterfall!X$71*Assumptions!$B$16</f>
        <v>28.148206564839921</v>
      </c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 spans="1:38" ht="15" customHeight="1" x14ac:dyDescent="0.75">
      <c r="A59" s="72" t="s">
        <v>113</v>
      </c>
      <c r="B59" s="73">
        <f t="shared" ref="B59:X59" si="8">B57+B58</f>
        <v>-45</v>
      </c>
      <c r="C59" s="73">
        <f t="shared" si="8"/>
        <v>0.5358235294117647</v>
      </c>
      <c r="D59" s="73">
        <f t="shared" si="8"/>
        <v>0.84981551811764688</v>
      </c>
      <c r="E59" s="73">
        <f t="shared" si="8"/>
        <v>0.84299885035306155</v>
      </c>
      <c r="F59" s="73">
        <f t="shared" si="8"/>
        <v>0.83612187282757533</v>
      </c>
      <c r="G59" s="73">
        <f t="shared" si="8"/>
        <v>0.82918702302566616</v>
      </c>
      <c r="H59" s="73">
        <f t="shared" si="8"/>
        <v>1.336683177374357</v>
      </c>
      <c r="I59" s="73">
        <f t="shared" si="8"/>
        <v>1.309946864961572</v>
      </c>
      <c r="J59" s="73">
        <f t="shared" si="8"/>
        <v>1.2799397656932088</v>
      </c>
      <c r="K59" s="73">
        <f t="shared" si="8"/>
        <v>1.2504705438969268</v>
      </c>
      <c r="L59" s="73">
        <f t="shared" si="8"/>
        <v>1.2246753857214892</v>
      </c>
      <c r="M59" s="73">
        <f t="shared" si="8"/>
        <v>1.1961844577892291</v>
      </c>
      <c r="N59" s="73">
        <f t="shared" si="8"/>
        <v>1.1650651944933546</v>
      </c>
      <c r="O59" s="73">
        <f t="shared" si="8"/>
        <v>1.1316727156358617</v>
      </c>
      <c r="P59" s="73">
        <f t="shared" si="8"/>
        <v>1.0993284743370557</v>
      </c>
      <c r="Q59" s="73">
        <f t="shared" si="8"/>
        <v>1.0679968715263457</v>
      </c>
      <c r="R59" s="73">
        <f t="shared" si="8"/>
        <v>1.0376435969893483</v>
      </c>
      <c r="S59" s="73">
        <f t="shared" si="8"/>
        <v>1.0082355801025227</v>
      </c>
      <c r="T59" s="73">
        <f t="shared" si="8"/>
        <v>0.97974094254220534</v>
      </c>
      <c r="U59" s="73">
        <f t="shared" si="8"/>
        <v>0.95212895288551769</v>
      </c>
      <c r="V59" s="73">
        <f t="shared" si="8"/>
        <v>0.92536998302419604</v>
      </c>
      <c r="W59" s="73">
        <f t="shared" si="8"/>
        <v>0.89943546631582805</v>
      </c>
      <c r="X59" s="73">
        <f t="shared" si="8"/>
        <v>28.148206564839921</v>
      </c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</row>
    <row r="60" spans="1:38" x14ac:dyDescent="0.75">
      <c r="A60" s="72" t="s">
        <v>114</v>
      </c>
      <c r="B60" s="73">
        <f>B59</f>
        <v>-45</v>
      </c>
      <c r="C60" s="73">
        <f t="shared" ref="C60:X60" si="9">B60+C59</f>
        <v>-44.464176470588235</v>
      </c>
      <c r="D60" s="73">
        <f t="shared" si="9"/>
        <v>-43.614360952470591</v>
      </c>
      <c r="E60" s="73">
        <f t="shared" si="9"/>
        <v>-42.771362102117529</v>
      </c>
      <c r="F60" s="73">
        <f t="shared" si="9"/>
        <v>-41.935240229289953</v>
      </c>
      <c r="G60" s="73">
        <f t="shared" si="9"/>
        <v>-41.106053206264285</v>
      </c>
      <c r="H60" s="73">
        <f t="shared" si="9"/>
        <v>-39.769370028889931</v>
      </c>
      <c r="I60" s="73">
        <f t="shared" si="9"/>
        <v>-38.459423163928356</v>
      </c>
      <c r="J60" s="73">
        <f t="shared" si="9"/>
        <v>-37.179483398235149</v>
      </c>
      <c r="K60" s="73">
        <f t="shared" si="9"/>
        <v>-35.929012854338225</v>
      </c>
      <c r="L60" s="73">
        <f t="shared" si="9"/>
        <v>-34.704337468616735</v>
      </c>
      <c r="M60" s="73">
        <f t="shared" si="9"/>
        <v>-33.508153010827506</v>
      </c>
      <c r="N60" s="73">
        <f t="shared" si="9"/>
        <v>-32.343087816334155</v>
      </c>
      <c r="O60" s="73">
        <f t="shared" si="9"/>
        <v>-31.211415100698293</v>
      </c>
      <c r="P60" s="73">
        <f t="shared" si="9"/>
        <v>-30.112086626361236</v>
      </c>
      <c r="Q60" s="73">
        <f t="shared" si="9"/>
        <v>-29.044089754834889</v>
      </c>
      <c r="R60" s="73">
        <f t="shared" si="9"/>
        <v>-28.006446157845541</v>
      </c>
      <c r="S60" s="73">
        <f t="shared" si="9"/>
        <v>-26.99821057774302</v>
      </c>
      <c r="T60" s="73">
        <f t="shared" si="9"/>
        <v>-26.018469635200816</v>
      </c>
      <c r="U60" s="73">
        <f t="shared" si="9"/>
        <v>-25.0663406823153</v>
      </c>
      <c r="V60" s="73">
        <f t="shared" si="9"/>
        <v>-24.140970699291103</v>
      </c>
      <c r="W60" s="73">
        <f t="shared" si="9"/>
        <v>-23.241535232975274</v>
      </c>
      <c r="X60" s="73">
        <f t="shared" si="9"/>
        <v>4.9066713318646471</v>
      </c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</row>
    <row r="61" spans="1:38" x14ac:dyDescent="0.75">
      <c r="A61" s="15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x14ac:dyDescent="0.75">
      <c r="A62" s="15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x14ac:dyDescent="0.75">
      <c r="A63" s="15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x14ac:dyDescent="0.75">
      <c r="A64" s="6" t="s">
        <v>120</v>
      </c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spans="1:38" x14ac:dyDescent="0.75">
      <c r="A65" s="8" t="s">
        <v>111</v>
      </c>
      <c r="B65" s="18">
        <f>-Sources_Uses!$B$12</f>
        <v>-6</v>
      </c>
      <c r="C65" s="18">
        <f>IF(C$4=Assumptions!$B$18,-Assumptions!$B$21,0)</f>
        <v>0</v>
      </c>
      <c r="D65" s="18">
        <f>IF(D$4=Assumptions!$B$18,-Assumptions!$B$21,0)</f>
        <v>0</v>
      </c>
      <c r="E65" s="18">
        <f>IF(E$4=Assumptions!$B$18,-Assumptions!$B$21,0)</f>
        <v>0</v>
      </c>
      <c r="F65" s="18">
        <f>IF(F$4=Assumptions!$B$18,-Assumptions!$B$21,0)</f>
        <v>0</v>
      </c>
      <c r="G65" s="18">
        <f>IF(G$4=Assumptions!$B$18,-Assumptions!$B$21,0)</f>
        <v>0</v>
      </c>
      <c r="H65" s="18">
        <f>IF(H$4=Assumptions!$B$18,-Assumptions!$B$21,0)</f>
        <v>0</v>
      </c>
      <c r="I65" s="18">
        <f>IF(AND(Tests!$E$6="Yes",I$4=Assumptions!$B$18),-Assumptions!$B$21,0)</f>
        <v>0</v>
      </c>
      <c r="J65" s="18">
        <f>IF(J$4=Assumptions!$B$18,-Assumptions!$B$21,0)</f>
        <v>0</v>
      </c>
      <c r="K65" s="18">
        <f>IF(K$4=Assumptions!$B$18,-Assumptions!$B$21,0)</f>
        <v>0</v>
      </c>
      <c r="L65" s="18">
        <f>IF(L$4=Assumptions!$B$18,-Assumptions!$B$21,0)</f>
        <v>0</v>
      </c>
      <c r="M65" s="18">
        <f>IF(M$4=Assumptions!$B$18,-Assumptions!$B$21,0)</f>
        <v>0</v>
      </c>
      <c r="N65" s="18">
        <f>IF(N$4=Assumptions!$B$18,-Assumptions!$B$21,0)</f>
        <v>0</v>
      </c>
      <c r="O65" s="18">
        <f>IF(O$4=Assumptions!$B$18,-Assumptions!$B$21,0)</f>
        <v>0</v>
      </c>
      <c r="P65" s="18">
        <f>IF(P$4=Assumptions!$B$18,-Assumptions!$B$21,0)</f>
        <v>0</v>
      </c>
      <c r="Q65" s="18">
        <f>IF(Q$4=Assumptions!$B$18,-Assumptions!$B$21,0)</f>
        <v>0</v>
      </c>
      <c r="R65" s="18">
        <f>IF(R$4=Assumptions!$B$18,-Assumptions!$B$21,0)</f>
        <v>0</v>
      </c>
      <c r="S65" s="18">
        <f>IF(S$4=Assumptions!$B$18,-Assumptions!$B$21,0)</f>
        <v>0</v>
      </c>
      <c r="T65" s="18">
        <f>IF(T$4=Assumptions!$B$18,-Assumptions!$B$21,0)</f>
        <v>0</v>
      </c>
      <c r="U65" s="18">
        <f>IF(U$4=Assumptions!$B$18,-Assumptions!$B$21,0)</f>
        <v>0</v>
      </c>
      <c r="V65" s="18">
        <f>IF(V$4=Assumptions!$B$18,-Assumptions!$B$21,0)</f>
        <v>0</v>
      </c>
      <c r="W65" s="18">
        <f>IF(W$4=Assumptions!$B$18,-Assumptions!$B$21,0)</f>
        <v>0</v>
      </c>
      <c r="X65" s="18">
        <f>IF(X$4=Assumptions!$B$18,-Assumptions!$B$21,0)</f>
        <v>0</v>
      </c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 spans="1:38" ht="15" customHeight="1" x14ac:dyDescent="0.75">
      <c r="A66" s="8" t="s">
        <v>112</v>
      </c>
      <c r="B66" s="18">
        <f>Waterfall!B$71*Assumptions!$B$17</f>
        <v>0</v>
      </c>
      <c r="C66" s="18">
        <f>Waterfall!C$71*Assumptions!$B$17</f>
        <v>7.1443137254901951E-2</v>
      </c>
      <c r="D66" s="18">
        <f>Waterfall!D$71*Assumptions!$B$17</f>
        <v>0.11330873574901958</v>
      </c>
      <c r="E66" s="18">
        <f>Waterfall!E$71*Assumptions!$B$17</f>
        <v>0.11239984671374155</v>
      </c>
      <c r="F66" s="18">
        <f>Waterfall!F$71*Assumptions!$B$17</f>
        <v>0.11148291637701004</v>
      </c>
      <c r="G66" s="18">
        <f>Waterfall!G$71*Assumptions!$B$17</f>
        <v>0.11055826973675549</v>
      </c>
      <c r="H66" s="18">
        <f>Waterfall!H$71*Assumptions!$B$17</f>
        <v>0.17822442364991425</v>
      </c>
      <c r="I66" s="18">
        <f>Waterfall!I$71*Assumptions!$B$17</f>
        <v>0.17465958199487625</v>
      </c>
      <c r="J66" s="18">
        <f>Waterfall!J$71*Assumptions!$B$17</f>
        <v>0.17065863542576115</v>
      </c>
      <c r="K66" s="18">
        <f>Waterfall!K$71*Assumptions!$B$17</f>
        <v>0.16672940585292359</v>
      </c>
      <c r="L66" s="18">
        <f>Waterfall!L$71*Assumptions!$B$17</f>
        <v>0.16329005142953187</v>
      </c>
      <c r="M66" s="18">
        <f>Waterfall!M$71*Assumptions!$B$17</f>
        <v>0.1594912610385639</v>
      </c>
      <c r="N66" s="18">
        <f>Waterfall!N$71*Assumptions!$B$17</f>
        <v>0.15534202593244728</v>
      </c>
      <c r="O66" s="18">
        <f>Waterfall!O$71*Assumptions!$B$17</f>
        <v>0.15088969541811489</v>
      </c>
      <c r="P66" s="18">
        <f>Waterfall!P$71*Assumptions!$B$17</f>
        <v>0.14657712991160743</v>
      </c>
      <c r="Q66" s="18">
        <f>Waterfall!Q$71*Assumptions!$B$17</f>
        <v>0.14239958287017943</v>
      </c>
      <c r="R66" s="18">
        <f>Waterfall!R$71*Assumptions!$B$17</f>
        <v>0.13835247959857977</v>
      </c>
      <c r="S66" s="18">
        <f>Waterfall!S$71*Assumptions!$B$17</f>
        <v>0.13443141068033634</v>
      </c>
      <c r="T66" s="18">
        <f>Waterfall!T$71*Assumptions!$B$17</f>
        <v>0.13063212567229404</v>
      </c>
      <c r="U66" s="18">
        <f>Waterfall!U$71*Assumptions!$B$17</f>
        <v>0.12695052705140236</v>
      </c>
      <c r="V66" s="18">
        <f>Waterfall!V$71*Assumptions!$B$17</f>
        <v>0.12338266440322615</v>
      </c>
      <c r="W66" s="18">
        <f>Waterfall!W$71*Assumptions!$B$17</f>
        <v>0.11992472884211042</v>
      </c>
      <c r="X66" s="18">
        <f>Waterfall!X$71*Assumptions!$B$17</f>
        <v>3.7530942086453227</v>
      </c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 spans="1:38" ht="15" customHeight="1" x14ac:dyDescent="0.75">
      <c r="A67" s="72" t="s">
        <v>113</v>
      </c>
      <c r="B67" s="73">
        <f t="shared" ref="B67:X67" si="10">B65+B66</f>
        <v>-6</v>
      </c>
      <c r="C67" s="73">
        <f t="shared" si="10"/>
        <v>7.1443137254901951E-2</v>
      </c>
      <c r="D67" s="73">
        <f t="shared" si="10"/>
        <v>0.11330873574901958</v>
      </c>
      <c r="E67" s="73">
        <f t="shared" si="10"/>
        <v>0.11239984671374155</v>
      </c>
      <c r="F67" s="73">
        <f t="shared" si="10"/>
        <v>0.11148291637701004</v>
      </c>
      <c r="G67" s="73">
        <f t="shared" si="10"/>
        <v>0.11055826973675549</v>
      </c>
      <c r="H67" s="73">
        <f t="shared" si="10"/>
        <v>0.17822442364991425</v>
      </c>
      <c r="I67" s="73">
        <f t="shared" si="10"/>
        <v>0.17465958199487625</v>
      </c>
      <c r="J67" s="73">
        <f t="shared" si="10"/>
        <v>0.17065863542576115</v>
      </c>
      <c r="K67" s="73">
        <f t="shared" si="10"/>
        <v>0.16672940585292359</v>
      </c>
      <c r="L67" s="73">
        <f t="shared" si="10"/>
        <v>0.16329005142953187</v>
      </c>
      <c r="M67" s="73">
        <f t="shared" si="10"/>
        <v>0.1594912610385639</v>
      </c>
      <c r="N67" s="73">
        <f t="shared" si="10"/>
        <v>0.15534202593244728</v>
      </c>
      <c r="O67" s="73">
        <f t="shared" si="10"/>
        <v>0.15088969541811489</v>
      </c>
      <c r="P67" s="73">
        <f t="shared" si="10"/>
        <v>0.14657712991160743</v>
      </c>
      <c r="Q67" s="73">
        <f t="shared" si="10"/>
        <v>0.14239958287017943</v>
      </c>
      <c r="R67" s="73">
        <f t="shared" si="10"/>
        <v>0.13835247959857977</v>
      </c>
      <c r="S67" s="73">
        <f t="shared" si="10"/>
        <v>0.13443141068033634</v>
      </c>
      <c r="T67" s="73">
        <f t="shared" si="10"/>
        <v>0.13063212567229404</v>
      </c>
      <c r="U67" s="73">
        <f t="shared" si="10"/>
        <v>0.12695052705140236</v>
      </c>
      <c r="V67" s="73">
        <f t="shared" si="10"/>
        <v>0.12338266440322615</v>
      </c>
      <c r="W67" s="73">
        <f t="shared" si="10"/>
        <v>0.11992472884211042</v>
      </c>
      <c r="X67" s="73">
        <f t="shared" si="10"/>
        <v>3.7530942086453227</v>
      </c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</row>
    <row r="68" spans="1:38" x14ac:dyDescent="0.75">
      <c r="A68" s="72" t="s">
        <v>114</v>
      </c>
      <c r="B68" s="73">
        <f>B67</f>
        <v>-6</v>
      </c>
      <c r="C68" s="73">
        <f t="shared" ref="C68:X68" si="11">B68+C67</f>
        <v>-5.928556862745098</v>
      </c>
      <c r="D68" s="73">
        <f t="shared" si="11"/>
        <v>-5.8152481269960781</v>
      </c>
      <c r="E68" s="73">
        <f t="shared" si="11"/>
        <v>-5.7028482802823364</v>
      </c>
      <c r="F68" s="73">
        <f t="shared" si="11"/>
        <v>-5.591365363905326</v>
      </c>
      <c r="G68" s="73">
        <f t="shared" si="11"/>
        <v>-5.4808070941685703</v>
      </c>
      <c r="H68" s="73">
        <f t="shared" si="11"/>
        <v>-5.3025826705186558</v>
      </c>
      <c r="I68" s="73">
        <f t="shared" si="11"/>
        <v>-5.1279230885237794</v>
      </c>
      <c r="J68" s="73">
        <f t="shared" si="11"/>
        <v>-4.9572644530980181</v>
      </c>
      <c r="K68" s="73">
        <f t="shared" si="11"/>
        <v>-4.7905350472450943</v>
      </c>
      <c r="L68" s="73">
        <f t="shared" si="11"/>
        <v>-4.6272449958155626</v>
      </c>
      <c r="M68" s="73">
        <f t="shared" si="11"/>
        <v>-4.4677537347769984</v>
      </c>
      <c r="N68" s="73">
        <f t="shared" si="11"/>
        <v>-4.3124117088445511</v>
      </c>
      <c r="O68" s="73">
        <f t="shared" si="11"/>
        <v>-4.1615220134264366</v>
      </c>
      <c r="P68" s="73">
        <f t="shared" si="11"/>
        <v>-4.0149448835148291</v>
      </c>
      <c r="Q68" s="73">
        <f t="shared" si="11"/>
        <v>-3.8725453006446497</v>
      </c>
      <c r="R68" s="73">
        <f t="shared" si="11"/>
        <v>-3.73419282104607</v>
      </c>
      <c r="S68" s="73">
        <f t="shared" si="11"/>
        <v>-3.5997614103657338</v>
      </c>
      <c r="T68" s="73">
        <f t="shared" si="11"/>
        <v>-3.4691292846934396</v>
      </c>
      <c r="U68" s="73">
        <f t="shared" si="11"/>
        <v>-3.3421787576420372</v>
      </c>
      <c r="V68" s="73">
        <f t="shared" si="11"/>
        <v>-3.2187960932388111</v>
      </c>
      <c r="W68" s="73">
        <f t="shared" si="11"/>
        <v>-3.0988713643967007</v>
      </c>
      <c r="X68" s="73">
        <f t="shared" si="11"/>
        <v>0.65422284424862198</v>
      </c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</row>
    <row r="71" spans="1:38" x14ac:dyDescent="0.75">
      <c r="A71" s="1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x14ac:dyDescent="0.75">
      <c r="A72" s="6" t="s">
        <v>115</v>
      </c>
      <c r="B72" s="6"/>
      <c r="C72" s="6"/>
      <c r="D72" s="6"/>
      <c r="E72" s="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spans="1:38" x14ac:dyDescent="0.75">
      <c r="A73" s="75" t="s">
        <v>116</v>
      </c>
      <c r="B73" s="76">
        <f>IFERROR((1+IRR(B59:X59))^12-1,0)</f>
        <v>7.5084548955021813E-2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x14ac:dyDescent="0.75">
      <c r="A74" s="75" t="s">
        <v>117</v>
      </c>
      <c r="B74" s="77">
        <f>SUM(B58:AL58)/ABS(SUM(B57:AL57))</f>
        <v>1.1090371407081034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x14ac:dyDescent="0.75">
      <c r="A75" s="75" t="s">
        <v>118</v>
      </c>
      <c r="B75" s="76">
        <f>IFERROR((1+IRR(B67:X67))^12-1,0)</f>
        <v>7.5084548955021813E-2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x14ac:dyDescent="0.75">
      <c r="A76" s="75" t="s">
        <v>119</v>
      </c>
      <c r="B76" s="77">
        <f>SUM(B66:AL66)/ABS(SUM(B65:AL65))</f>
        <v>1.1090371407081034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AL7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8.6796875" defaultRowHeight="14.75" x14ac:dyDescent="0.75"/>
  <cols>
    <col min="1" max="1" width="30.86328125" customWidth="1"/>
    <col min="2" max="38" width="13.1328125" customWidth="1"/>
    <col min="39" max="39" width="12" customWidth="1"/>
  </cols>
  <sheetData>
    <row r="1" spans="1:38" x14ac:dyDescent="0.75">
      <c r="A1" s="1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19.5" customHeight="1" x14ac:dyDescent="0.95">
      <c r="A2" s="48" t="s">
        <v>4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69"/>
      <c r="Z2" s="69"/>
      <c r="AA2" s="69"/>
    </row>
    <row r="3" spans="1:38" x14ac:dyDescent="0.75">
      <c r="A3" s="6" t="s">
        <v>121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x14ac:dyDescent="0.75">
      <c r="A4" s="15"/>
      <c r="B4" s="70">
        <f>+Rollforward!B$5</f>
        <v>0</v>
      </c>
      <c r="C4" s="70">
        <f>+Rollforward!C$5</f>
        <v>1</v>
      </c>
      <c r="D4" s="70">
        <f>+Rollforward!D$5</f>
        <v>2</v>
      </c>
      <c r="E4" s="70">
        <f>+Rollforward!E$5</f>
        <v>3</v>
      </c>
      <c r="F4" s="70">
        <f>+Rollforward!F$5</f>
        <v>4</v>
      </c>
      <c r="G4" s="70">
        <f>+Rollforward!G$5</f>
        <v>5</v>
      </c>
      <c r="H4" s="70">
        <f>+Rollforward!H$5</f>
        <v>6</v>
      </c>
      <c r="I4" s="70">
        <f>+Rollforward!I$5</f>
        <v>7</v>
      </c>
      <c r="J4" s="70">
        <f>+Rollforward!J$5</f>
        <v>8</v>
      </c>
      <c r="K4" s="70">
        <f>+Rollforward!K$5</f>
        <v>9</v>
      </c>
      <c r="L4" s="70">
        <f>+Rollforward!L$5</f>
        <v>10</v>
      </c>
      <c r="M4" s="70">
        <f>+Rollforward!M$5</f>
        <v>11</v>
      </c>
      <c r="N4" s="70">
        <f>+Rollforward!N$5</f>
        <v>12</v>
      </c>
      <c r="O4" s="70">
        <f>+Rollforward!O$5</f>
        <v>13</v>
      </c>
      <c r="P4" s="70">
        <f>+Rollforward!P$5</f>
        <v>14</v>
      </c>
      <c r="Q4" s="70">
        <f>+Rollforward!Q$5</f>
        <v>15</v>
      </c>
      <c r="R4" s="70">
        <f>+Rollforward!R$5</f>
        <v>16</v>
      </c>
      <c r="S4" s="70">
        <f>+Rollforward!S$5</f>
        <v>17</v>
      </c>
      <c r="T4" s="70">
        <f>+Rollforward!T$5</f>
        <v>18</v>
      </c>
      <c r="U4" s="70">
        <f>+Rollforward!U$5</f>
        <v>19</v>
      </c>
      <c r="V4" s="70">
        <f>+Rollforward!V$5</f>
        <v>20</v>
      </c>
      <c r="W4" s="70">
        <f>+Rollforward!W$5</f>
        <v>21</v>
      </c>
      <c r="X4" s="70">
        <f>+Rollforward!X$5</f>
        <v>22</v>
      </c>
      <c r="Y4" s="5"/>
      <c r="Z4" s="5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</row>
    <row r="5" spans="1:38" x14ac:dyDescent="0.75">
      <c r="A5" s="15"/>
      <c r="B5" s="71" t="str">
        <f>+Rollforward!B$6</f>
        <v>Close / M0</v>
      </c>
      <c r="C5" s="71">
        <f>+Rollforward!C$6</f>
        <v>46053</v>
      </c>
      <c r="D5" s="71">
        <f>+Rollforward!D$6</f>
        <v>46081</v>
      </c>
      <c r="E5" s="71">
        <f>+Rollforward!E$6</f>
        <v>46112</v>
      </c>
      <c r="F5" s="71">
        <f>+Rollforward!F$6</f>
        <v>46142</v>
      </c>
      <c r="G5" s="71">
        <f>+Rollforward!G$6</f>
        <v>46173</v>
      </c>
      <c r="H5" s="71">
        <f>+Rollforward!H$6</f>
        <v>46203</v>
      </c>
      <c r="I5" s="71">
        <f>+Rollforward!I$6</f>
        <v>46234</v>
      </c>
      <c r="J5" s="71">
        <f>+Rollforward!J$6</f>
        <v>46265</v>
      </c>
      <c r="K5" s="71">
        <f>+Rollforward!K$6</f>
        <v>46295</v>
      </c>
      <c r="L5" s="71">
        <f>+Rollforward!L$6</f>
        <v>46326</v>
      </c>
      <c r="M5" s="71">
        <f>+Rollforward!M$6</f>
        <v>46356</v>
      </c>
      <c r="N5" s="71">
        <f>+Rollforward!N$6</f>
        <v>46387</v>
      </c>
      <c r="O5" s="71">
        <f>+Rollforward!O$6</f>
        <v>46418</v>
      </c>
      <c r="P5" s="71">
        <f>+Rollforward!P$6</f>
        <v>46446</v>
      </c>
      <c r="Q5" s="71">
        <f>+Rollforward!Q$6</f>
        <v>46477</v>
      </c>
      <c r="R5" s="71">
        <f>+Rollforward!R$6</f>
        <v>46507</v>
      </c>
      <c r="S5" s="71">
        <f>+Rollforward!S$6</f>
        <v>46538</v>
      </c>
      <c r="T5" s="71">
        <f>+Rollforward!T$6</f>
        <v>46568</v>
      </c>
      <c r="U5" s="71">
        <f>+Rollforward!U$6</f>
        <v>46599</v>
      </c>
      <c r="V5" s="71">
        <f>+Rollforward!V$6</f>
        <v>46630</v>
      </c>
      <c r="W5" s="71">
        <f>+Rollforward!W$6</f>
        <v>46660</v>
      </c>
      <c r="X5" s="71">
        <f>+Rollforward!X$6</f>
        <v>46691</v>
      </c>
      <c r="Y5" s="5"/>
      <c r="Z5" s="5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</row>
    <row r="6" spans="1:38" x14ac:dyDescent="0.75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x14ac:dyDescent="0.75">
      <c r="A7" s="6" t="s">
        <v>122</v>
      </c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x14ac:dyDescent="0.75">
      <c r="A8" s="75" t="s">
        <v>123</v>
      </c>
      <c r="B8" s="80">
        <f>SUM(B16:AL16)</f>
        <v>49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x14ac:dyDescent="0.75">
      <c r="A9" s="75" t="s">
        <v>124</v>
      </c>
      <c r="B9" s="80">
        <f>SUM(B17:AL17)</f>
        <v>0.96221576709332357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1:38" x14ac:dyDescent="0.75">
      <c r="A10" s="75" t="s">
        <v>125</v>
      </c>
      <c r="B10" s="80">
        <f>SUM(B18:AL18)</f>
        <v>0.33677551848266329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1:38" x14ac:dyDescent="0.75">
      <c r="A11" s="75" t="s">
        <v>126</v>
      </c>
      <c r="B11" s="80">
        <f>SUM(B20:AL20)</f>
        <v>8.1474129224505809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1:38" x14ac:dyDescent="0.75">
      <c r="A12" s="75" t="s">
        <v>127</v>
      </c>
      <c r="B12" s="81">
        <f>IFERROR((1+IRR(Returns!B16:X16))^12-1,0)</f>
        <v>8.8041284944553988E-2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 x14ac:dyDescent="0.75">
      <c r="A13" s="75" t="s">
        <v>128</v>
      </c>
      <c r="B13" s="77">
        <f>-SUM(B20:AL20)/SUM(B19:AL19)</f>
        <v>1.135295243292294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1:38" x14ac:dyDescent="0.75">
      <c r="A14" s="75" t="s">
        <v>129</v>
      </c>
      <c r="B14" s="80">
        <f>+SUM(B16:X18)+SUM(B20:X20)+SUM(B19:X19)</f>
        <v>51.269933619791281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spans="1:38" x14ac:dyDescent="0.75">
      <c r="A15" s="6" t="s">
        <v>130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1:38" x14ac:dyDescent="0.75">
      <c r="A16" s="8" t="s">
        <v>131</v>
      </c>
      <c r="B16" s="82">
        <f>+Sources_Uses!$B$16</f>
        <v>49</v>
      </c>
      <c r="C16" s="18">
        <f>0</f>
        <v>0</v>
      </c>
      <c r="D16" s="18">
        <f>0</f>
        <v>0</v>
      </c>
      <c r="E16" s="18">
        <f>0</f>
        <v>0</v>
      </c>
      <c r="F16" s="18">
        <f>0</f>
        <v>0</v>
      </c>
      <c r="G16" s="18">
        <f>0</f>
        <v>0</v>
      </c>
      <c r="H16" s="18">
        <f>0</f>
        <v>0</v>
      </c>
      <c r="I16" s="18">
        <f>0</f>
        <v>0</v>
      </c>
      <c r="J16" s="18">
        <f>0</f>
        <v>0</v>
      </c>
      <c r="K16" s="18">
        <f>0</f>
        <v>0</v>
      </c>
      <c r="L16" s="18">
        <f>0</f>
        <v>0</v>
      </c>
      <c r="M16" s="18">
        <f>0</f>
        <v>0</v>
      </c>
      <c r="N16" s="18">
        <f>0</f>
        <v>0</v>
      </c>
      <c r="O16" s="18">
        <f>0</f>
        <v>0</v>
      </c>
      <c r="P16" s="18">
        <f>0</f>
        <v>0</v>
      </c>
      <c r="Q16" s="18">
        <f>0</f>
        <v>0</v>
      </c>
      <c r="R16" s="18">
        <f>0</f>
        <v>0</v>
      </c>
      <c r="S16" s="18">
        <f>0</f>
        <v>0</v>
      </c>
      <c r="T16" s="18">
        <f>0</f>
        <v>0</v>
      </c>
      <c r="U16" s="18">
        <f>0</f>
        <v>0</v>
      </c>
      <c r="V16" s="18">
        <f>0</f>
        <v>0</v>
      </c>
      <c r="W16" s="18">
        <f>0</f>
        <v>0</v>
      </c>
      <c r="X16" s="18">
        <f>0</f>
        <v>0</v>
      </c>
      <c r="Y16" s="5"/>
      <c r="Z16" s="5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 spans="1:38" x14ac:dyDescent="0.75">
      <c r="A17" s="8" t="s">
        <v>132</v>
      </c>
      <c r="B17" s="82">
        <f>+Waterfall!B$13</f>
        <v>0</v>
      </c>
      <c r="C17" s="82">
        <f>+Waterfall!C$13</f>
        <v>4.1666666666666664E-2</v>
      </c>
      <c r="D17" s="82">
        <f>+Waterfall!D$13</f>
        <v>4.1486799999999997E-2</v>
      </c>
      <c r="E17" s="82">
        <f>+Waterfall!E$13</f>
        <v>4.1306614530240003E-2</v>
      </c>
      <c r="F17" s="82">
        <f>+Waterfall!F$13</f>
        <v>4.1126121147388665E-2</v>
      </c>
      <c r="G17" s="82">
        <f>+Waterfall!G$13</f>
        <v>4.0945330718824745E-2</v>
      </c>
      <c r="H17" s="82">
        <f>+Waterfall!H$13</f>
        <v>4.0764254088253807E-2</v>
      </c>
      <c r="I17" s="82">
        <f>+Waterfall!I$13</f>
        <v>4.0582902074665979E-2</v>
      </c>
      <c r="J17" s="82">
        <f>+Waterfall!J$13</f>
        <v>4.8736761581864317E-2</v>
      </c>
      <c r="K17" s="82">
        <f>+Waterfall!K$13</f>
        <v>4.8521228127444672E-2</v>
      </c>
      <c r="L17" s="82">
        <f>+Waterfall!L$13</f>
        <v>4.8307928808596433E-2</v>
      </c>
      <c r="M17" s="82">
        <f>+Waterfall!M$13</f>
        <v>4.8095567153553842E-2</v>
      </c>
      <c r="N17" s="82">
        <f>+Waterfall!N$13</f>
        <v>4.7884139040346822E-2</v>
      </c>
      <c r="O17" s="82">
        <f>+Waterfall!O$13</f>
        <v>4.7672376223854791E-2</v>
      </c>
      <c r="P17" s="82">
        <f>+Waterfall!P$13</f>
        <v>4.6637885659797144E-2</v>
      </c>
      <c r="Q17" s="82">
        <f>+Waterfall!Q$13</f>
        <v>4.562117975241356E-2</v>
      </c>
      <c r="R17" s="82">
        <f>+Waterfall!R$13</f>
        <v>4.462663803381095E-2</v>
      </c>
      <c r="S17" s="82">
        <f>+Waterfall!S$13</f>
        <v>4.3658239988477253E-2</v>
      </c>
      <c r="T17" s="82">
        <f>+Waterfall!T$13</f>
        <v>4.271522200472614E-2</v>
      </c>
      <c r="U17" s="82">
        <f>+Waterfall!U$13</f>
        <v>4.1792573209424061E-2</v>
      </c>
      <c r="V17" s="82">
        <f>+Waterfall!V$13</f>
        <v>4.0894032885421448E-2</v>
      </c>
      <c r="W17" s="82">
        <f>+Waterfall!W$13</f>
        <v>4.0014811178384881E-2</v>
      </c>
      <c r="X17" s="82">
        <f>+Waterfall!X$13</f>
        <v>3.915849421916745E-2</v>
      </c>
      <c r="Y17" s="5"/>
      <c r="Z17" s="5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</row>
    <row r="18" spans="1:38" x14ac:dyDescent="0.75">
      <c r="A18" s="8" t="s">
        <v>133</v>
      </c>
      <c r="B18" s="82">
        <f>+Waterfall!B$14</f>
        <v>0</v>
      </c>
      <c r="C18" s="82">
        <f>+Waterfall!C$14</f>
        <v>1.4583333333333335E-2</v>
      </c>
      <c r="D18" s="82">
        <f>+Waterfall!D$14</f>
        <v>1.4520379999999999E-2</v>
      </c>
      <c r="E18" s="82">
        <f>+Waterfall!E$14</f>
        <v>1.4457315085583998E-2</v>
      </c>
      <c r="F18" s="82">
        <f>+Waterfall!F$14</f>
        <v>1.4394142401586034E-2</v>
      </c>
      <c r="G18" s="82">
        <f>+Waterfall!G$14</f>
        <v>1.4330865751588659E-2</v>
      </c>
      <c r="H18" s="82">
        <f>+Waterfall!H$14</f>
        <v>1.4267488930888833E-2</v>
      </c>
      <c r="I18" s="82">
        <f>+Waterfall!I$14</f>
        <v>1.4204015726133093E-2</v>
      </c>
      <c r="J18" s="82">
        <f>+Waterfall!J$14</f>
        <v>1.7057866553652511E-2</v>
      </c>
      <c r="K18" s="82">
        <f>+Waterfall!K$14</f>
        <v>1.6982429844605636E-2</v>
      </c>
      <c r="L18" s="82">
        <f>+Waterfall!L$14</f>
        <v>1.6907775083008749E-2</v>
      </c>
      <c r="M18" s="82">
        <f>+Waterfall!M$14</f>
        <v>1.6833448503743843E-2</v>
      </c>
      <c r="N18" s="82">
        <f>+Waterfall!N$14</f>
        <v>1.675944866412139E-2</v>
      </c>
      <c r="O18" s="82">
        <f>+Waterfall!O$14</f>
        <v>1.6685331678349177E-2</v>
      </c>
      <c r="P18" s="82">
        <f>+Waterfall!P$14</f>
        <v>1.6323259980929001E-2</v>
      </c>
      <c r="Q18" s="82">
        <f>+Waterfall!Q$14</f>
        <v>1.5967412913344747E-2</v>
      </c>
      <c r="R18" s="82">
        <f>+Waterfall!R$14</f>
        <v>1.5619323311833832E-2</v>
      </c>
      <c r="S18" s="82">
        <f>+Waterfall!S$14</f>
        <v>1.5280383995967038E-2</v>
      </c>
      <c r="T18" s="82">
        <f>+Waterfall!T$14</f>
        <v>1.4950327701654151E-2</v>
      </c>
      <c r="U18" s="82">
        <f>+Waterfall!U$14</f>
        <v>1.462740062329842E-2</v>
      </c>
      <c r="V18" s="82">
        <f>+Waterfall!V$14</f>
        <v>1.4312911509897506E-2</v>
      </c>
      <c r="W18" s="82">
        <f>+Waterfall!W$14</f>
        <v>1.4005183912434709E-2</v>
      </c>
      <c r="X18" s="82">
        <f>+Waterfall!X$14</f>
        <v>1.3705472976708606E-2</v>
      </c>
      <c r="Y18" s="5"/>
      <c r="Z18" s="5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</row>
    <row r="19" spans="1:38" x14ac:dyDescent="0.75">
      <c r="A19" s="8" t="s">
        <v>134</v>
      </c>
      <c r="B19" s="82">
        <f>+Returns!B$14</f>
        <v>-6</v>
      </c>
      <c r="C19" s="82">
        <f>+Returns!C$14</f>
        <v>0</v>
      </c>
      <c r="D19" s="82">
        <f>+Returns!D$14</f>
        <v>0</v>
      </c>
      <c r="E19" s="82">
        <f>+Returns!E$14</f>
        <v>0</v>
      </c>
      <c r="F19" s="82">
        <f>+Returns!F$14</f>
        <v>0</v>
      </c>
      <c r="G19" s="82">
        <f>+Returns!G$14</f>
        <v>0</v>
      </c>
      <c r="H19" s="82">
        <f>+Returns!H$14</f>
        <v>0</v>
      </c>
      <c r="I19" s="82">
        <f>+Returns!I$14</f>
        <v>-1.1764705882352942</v>
      </c>
      <c r="J19" s="82">
        <f>+Returns!J$14</f>
        <v>0</v>
      </c>
      <c r="K19" s="82">
        <f>+Returns!K$14</f>
        <v>0</v>
      </c>
      <c r="L19" s="82">
        <f>+Returns!L$14</f>
        <v>0</v>
      </c>
      <c r="M19" s="82">
        <f>+Returns!M$14</f>
        <v>0</v>
      </c>
      <c r="N19" s="82">
        <f>+Returns!N$14</f>
        <v>0</v>
      </c>
      <c r="O19" s="82">
        <f>+Returns!O$14</f>
        <v>0</v>
      </c>
      <c r="P19" s="82">
        <f>+Returns!P$14</f>
        <v>0</v>
      </c>
      <c r="Q19" s="82">
        <f>+Returns!Q$14</f>
        <v>0</v>
      </c>
      <c r="R19" s="82">
        <f>+Returns!R$14</f>
        <v>0</v>
      </c>
      <c r="S19" s="82">
        <f>+Returns!S$14</f>
        <v>0</v>
      </c>
      <c r="T19" s="82">
        <f>+Returns!T$14</f>
        <v>0</v>
      </c>
      <c r="U19" s="82">
        <f>+Returns!U$14</f>
        <v>0</v>
      </c>
      <c r="V19" s="82">
        <f>+Returns!V$14</f>
        <v>0</v>
      </c>
      <c r="W19" s="82">
        <f>+Returns!W$14</f>
        <v>0</v>
      </c>
      <c r="X19" s="82">
        <f>+Returns!X$14</f>
        <v>0</v>
      </c>
      <c r="Y19" s="5"/>
      <c r="Z19" s="5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</row>
    <row r="20" spans="1:38" ht="15" customHeight="1" x14ac:dyDescent="0.75">
      <c r="A20" s="8" t="s">
        <v>135</v>
      </c>
      <c r="B20" s="82">
        <f>+Returns!B$15</f>
        <v>0</v>
      </c>
      <c r="C20" s="82">
        <f>+Returns!C$15</f>
        <v>7.1004705882352956E-2</v>
      </c>
      <c r="D20" s="82">
        <f>+Returns!D$15</f>
        <v>7.0795803655529441E-2</v>
      </c>
      <c r="E20" s="82">
        <f>+Returns!E$15</f>
        <v>7.0585404032719512E-2</v>
      </c>
      <c r="F20" s="82">
        <f>+Returns!F$15</f>
        <v>7.0373523787132741E-2</v>
      </c>
      <c r="G20" s="82">
        <f>+Returns!G$15</f>
        <v>7.0160179765067068E-2</v>
      </c>
      <c r="H20" s="82">
        <f>+Returns!H$15</f>
        <v>6.9945388883752665E-2</v>
      </c>
      <c r="I20" s="82">
        <f>+Returns!I$15</f>
        <v>6.9518328016768036E-2</v>
      </c>
      <c r="J20" s="82">
        <f>+Returns!J$15</f>
        <v>8.3958602162946649E-2</v>
      </c>
      <c r="K20" s="82">
        <f>+Returns!K$15</f>
        <v>8.3450856968146608E-2</v>
      </c>
      <c r="L20" s="82">
        <f>+Returns!L$15</f>
        <v>8.3073663471502884E-2</v>
      </c>
      <c r="M20" s="82">
        <f>+Returns!M$15</f>
        <v>8.269812811747039E-2</v>
      </c>
      <c r="N20" s="82">
        <f>+Returns!N$15</f>
        <v>8.2448629709796731E-2</v>
      </c>
      <c r="O20" s="82">
        <f>+Returns!O$15</f>
        <v>0.19830177290418921</v>
      </c>
      <c r="P20" s="82">
        <f>+Returns!P$15</f>
        <v>0.19455330944120847</v>
      </c>
      <c r="Q20" s="82">
        <f>+Returns!Q$15</f>
        <v>0.19026075317774307</v>
      </c>
      <c r="R20" s="82">
        <f>+Returns!R$15</f>
        <v>0.18548215336565263</v>
      </c>
      <c r="S20" s="82">
        <f>+Returns!S$15</f>
        <v>0.18083908832059112</v>
      </c>
      <c r="T20" s="82">
        <f>+Returns!T$15</f>
        <v>0.17688214048345466</v>
      </c>
      <c r="U20" s="82">
        <f>+Returns!U$15</f>
        <v>0.17246785094520961</v>
      </c>
      <c r="V20" s="82">
        <f>+Returns!V$15</f>
        <v>0.16870920391459354</v>
      </c>
      <c r="W20" s="82">
        <f>+Returns!W$15</f>
        <v>0.16451164601230109</v>
      </c>
      <c r="X20" s="82">
        <f>+Returns!X$15</f>
        <v>5.6073917894324525</v>
      </c>
      <c r="Y20" s="5"/>
      <c r="Z20" s="5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</row>
    <row r="21" spans="1:38" ht="15" customHeight="1" x14ac:dyDescent="0.75">
      <c r="A21" s="72" t="s">
        <v>113</v>
      </c>
      <c r="B21" s="73">
        <f t="shared" ref="B21:X21" si="0">SUM(B16:B20)</f>
        <v>43</v>
      </c>
      <c r="C21" s="73">
        <f t="shared" si="0"/>
        <v>0.12725470588235296</v>
      </c>
      <c r="D21" s="73">
        <f t="shared" si="0"/>
        <v>0.12680298365552944</v>
      </c>
      <c r="E21" s="73">
        <f t="shared" si="0"/>
        <v>0.1263493336485435</v>
      </c>
      <c r="F21" s="73">
        <f t="shared" si="0"/>
        <v>0.12589378733610745</v>
      </c>
      <c r="G21" s="73">
        <f t="shared" si="0"/>
        <v>0.12543637623548048</v>
      </c>
      <c r="H21" s="73">
        <f t="shared" si="0"/>
        <v>0.12497713190289531</v>
      </c>
      <c r="I21" s="73">
        <f t="shared" si="0"/>
        <v>-1.0521653424177271</v>
      </c>
      <c r="J21" s="73">
        <f t="shared" si="0"/>
        <v>0.14975323029846349</v>
      </c>
      <c r="K21" s="73">
        <f t="shared" si="0"/>
        <v>0.1489545149401969</v>
      </c>
      <c r="L21" s="73">
        <f t="shared" si="0"/>
        <v>0.14828936736310805</v>
      </c>
      <c r="M21" s="73">
        <f t="shared" si="0"/>
        <v>0.14762714377476807</v>
      </c>
      <c r="N21" s="73">
        <f t="shared" si="0"/>
        <v>0.14709221741426493</v>
      </c>
      <c r="O21" s="73">
        <f t="shared" si="0"/>
        <v>0.26265948080639318</v>
      </c>
      <c r="P21" s="73">
        <f t="shared" si="0"/>
        <v>0.2575144550819346</v>
      </c>
      <c r="Q21" s="73">
        <f t="shared" si="0"/>
        <v>0.25184934584350138</v>
      </c>
      <c r="R21" s="73">
        <f t="shared" si="0"/>
        <v>0.24572811471129741</v>
      </c>
      <c r="S21" s="73">
        <f t="shared" si="0"/>
        <v>0.23977771230503542</v>
      </c>
      <c r="T21" s="73">
        <f t="shared" si="0"/>
        <v>0.23454769018983496</v>
      </c>
      <c r="U21" s="73">
        <f t="shared" si="0"/>
        <v>0.2288878247779321</v>
      </c>
      <c r="V21" s="73">
        <f t="shared" si="0"/>
        <v>0.22391614830991249</v>
      </c>
      <c r="W21" s="73">
        <f t="shared" si="0"/>
        <v>0.21853164110312068</v>
      </c>
      <c r="X21" s="73">
        <f t="shared" si="0"/>
        <v>5.6602557566283282</v>
      </c>
      <c r="Y21" s="5"/>
      <c r="Z21" s="5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</row>
    <row r="22" spans="1:38" x14ac:dyDescent="0.75">
      <c r="A22" s="72" t="s">
        <v>114</v>
      </c>
      <c r="B22" s="73">
        <f>B21</f>
        <v>43</v>
      </c>
      <c r="C22" s="73">
        <f t="shared" ref="C22:X22" si="1">B22+C21</f>
        <v>43.127254705882351</v>
      </c>
      <c r="D22" s="73">
        <f t="shared" si="1"/>
        <v>43.254057689537881</v>
      </c>
      <c r="E22" s="73">
        <f t="shared" si="1"/>
        <v>43.380407023186422</v>
      </c>
      <c r="F22" s="73">
        <f t="shared" si="1"/>
        <v>43.506300810522532</v>
      </c>
      <c r="G22" s="73">
        <f t="shared" si="1"/>
        <v>43.631737186758009</v>
      </c>
      <c r="H22" s="73">
        <f t="shared" si="1"/>
        <v>43.756714318660904</v>
      </c>
      <c r="I22" s="73">
        <f t="shared" si="1"/>
        <v>42.704548976243174</v>
      </c>
      <c r="J22" s="73">
        <f t="shared" si="1"/>
        <v>42.854302206541639</v>
      </c>
      <c r="K22" s="73">
        <f t="shared" si="1"/>
        <v>43.003256721481833</v>
      </c>
      <c r="L22" s="73">
        <f t="shared" si="1"/>
        <v>43.151546088844938</v>
      </c>
      <c r="M22" s="73">
        <f t="shared" si="1"/>
        <v>43.299173232619708</v>
      </c>
      <c r="N22" s="73">
        <f t="shared" si="1"/>
        <v>43.44626545003397</v>
      </c>
      <c r="O22" s="73">
        <f t="shared" si="1"/>
        <v>43.708924930840361</v>
      </c>
      <c r="P22" s="73">
        <f t="shared" si="1"/>
        <v>43.966439385922293</v>
      </c>
      <c r="Q22" s="73">
        <f t="shared" si="1"/>
        <v>44.218288731765796</v>
      </c>
      <c r="R22" s="73">
        <f t="shared" si="1"/>
        <v>44.464016846477094</v>
      </c>
      <c r="S22" s="73">
        <f t="shared" si="1"/>
        <v>44.703794558782128</v>
      </c>
      <c r="T22" s="73">
        <f t="shared" si="1"/>
        <v>44.938342248971963</v>
      </c>
      <c r="U22" s="73">
        <f t="shared" si="1"/>
        <v>45.167230073749899</v>
      </c>
      <c r="V22" s="73">
        <f t="shared" si="1"/>
        <v>45.39114622205981</v>
      </c>
      <c r="W22" s="73">
        <f t="shared" si="1"/>
        <v>45.609677863162929</v>
      </c>
      <c r="X22" s="73">
        <f t="shared" si="1"/>
        <v>51.26993361979126</v>
      </c>
      <c r="Y22" s="5"/>
      <c r="Z22" s="5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</row>
    <row r="25" spans="1:38" ht="19.5" customHeight="1" x14ac:dyDescent="0.95">
      <c r="A25" s="48" t="s">
        <v>89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69"/>
    </row>
    <row r="26" spans="1:38" x14ac:dyDescent="0.75">
      <c r="A26" s="6" t="s">
        <v>121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x14ac:dyDescent="0.75">
      <c r="A27" s="15"/>
      <c r="B27" s="70">
        <f>+Rollforward!B$5</f>
        <v>0</v>
      </c>
      <c r="C27" s="70">
        <f>+Rollforward!C$28</f>
        <v>1</v>
      </c>
      <c r="D27" s="70">
        <f>+Rollforward!D$28</f>
        <v>2</v>
      </c>
      <c r="E27" s="70">
        <f>+Rollforward!E$28</f>
        <v>3</v>
      </c>
      <c r="F27" s="70">
        <f>+Rollforward!F$28</f>
        <v>4</v>
      </c>
      <c r="G27" s="70">
        <f>+Rollforward!G$28</f>
        <v>5</v>
      </c>
      <c r="H27" s="70">
        <f>+Rollforward!H$28</f>
        <v>6</v>
      </c>
      <c r="I27" s="70">
        <f>+Rollforward!I$28</f>
        <v>7</v>
      </c>
      <c r="J27" s="70">
        <f>+Rollforward!J$28</f>
        <v>8</v>
      </c>
      <c r="K27" s="70">
        <f>+Rollforward!K$28</f>
        <v>9</v>
      </c>
      <c r="L27" s="70">
        <f>+Rollforward!L$28</f>
        <v>10</v>
      </c>
      <c r="M27" s="70">
        <f>+Rollforward!M$28</f>
        <v>11</v>
      </c>
      <c r="N27" s="70">
        <f>+Rollforward!N$28</f>
        <v>12</v>
      </c>
      <c r="O27" s="70">
        <f>+Rollforward!O$28</f>
        <v>13</v>
      </c>
      <c r="P27" s="70">
        <f>+Rollforward!P$28</f>
        <v>14</v>
      </c>
      <c r="Q27" s="70">
        <f>+Rollforward!Q$28</f>
        <v>15</v>
      </c>
      <c r="R27" s="70">
        <f>+Rollforward!R$28</f>
        <v>16</v>
      </c>
      <c r="S27" s="70">
        <f>+Rollforward!S$28</f>
        <v>17</v>
      </c>
      <c r="T27" s="70">
        <f>+Rollforward!T$28</f>
        <v>18</v>
      </c>
      <c r="U27" s="70">
        <f>+Rollforward!U$28</f>
        <v>19</v>
      </c>
      <c r="V27" s="70">
        <f>+Rollforward!V$28</f>
        <v>20</v>
      </c>
      <c r="W27" s="70">
        <f>+Rollforward!W$28</f>
        <v>21</v>
      </c>
      <c r="X27" s="70">
        <f>+Rollforward!X$28</f>
        <v>22</v>
      </c>
      <c r="Y27" s="70">
        <f>+Rollforward!Y$28</f>
        <v>23</v>
      </c>
      <c r="Z27" s="70">
        <f>+Rollforward!Z$28</f>
        <v>24</v>
      </c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</row>
    <row r="28" spans="1:38" x14ac:dyDescent="0.75">
      <c r="A28" s="15"/>
      <c r="B28" s="71" t="str">
        <f>+Rollforward!B$6</f>
        <v>Close / M0</v>
      </c>
      <c r="C28" s="71">
        <f>+Rollforward!C$29</f>
        <v>46053</v>
      </c>
      <c r="D28" s="71">
        <f>+Rollforward!D$29</f>
        <v>46081</v>
      </c>
      <c r="E28" s="71">
        <f>+Rollforward!E$29</f>
        <v>46112</v>
      </c>
      <c r="F28" s="71">
        <f>+Rollforward!F$29</f>
        <v>46142</v>
      </c>
      <c r="G28" s="71">
        <f>+Rollforward!G$29</f>
        <v>46173</v>
      </c>
      <c r="H28" s="71">
        <f>+Rollforward!H$29</f>
        <v>46203</v>
      </c>
      <c r="I28" s="71">
        <f>+Rollforward!I$29</f>
        <v>46234</v>
      </c>
      <c r="J28" s="71">
        <f>+Rollforward!J$29</f>
        <v>46265</v>
      </c>
      <c r="K28" s="71">
        <f>+Rollforward!K$29</f>
        <v>46295</v>
      </c>
      <c r="L28" s="71">
        <f>+Rollforward!L$29</f>
        <v>46326</v>
      </c>
      <c r="M28" s="71">
        <f>+Rollforward!M$29</f>
        <v>46356</v>
      </c>
      <c r="N28" s="71">
        <f>+Rollforward!N$29</f>
        <v>46387</v>
      </c>
      <c r="O28" s="71">
        <f>+Rollforward!O$29</f>
        <v>46418</v>
      </c>
      <c r="P28" s="71">
        <f>+Rollforward!P$29</f>
        <v>46446</v>
      </c>
      <c r="Q28" s="71">
        <f>+Rollforward!Q$29</f>
        <v>46477</v>
      </c>
      <c r="R28" s="71">
        <f>+Rollforward!R$29</f>
        <v>46507</v>
      </c>
      <c r="S28" s="71">
        <f>+Rollforward!S$29</f>
        <v>46538</v>
      </c>
      <c r="T28" s="71">
        <f>+Rollforward!T$29</f>
        <v>46568</v>
      </c>
      <c r="U28" s="71">
        <f>+Rollforward!U$29</f>
        <v>46599</v>
      </c>
      <c r="V28" s="71">
        <f>+Rollforward!V$29</f>
        <v>46630</v>
      </c>
      <c r="W28" s="71">
        <f>+Rollforward!W$29</f>
        <v>46660</v>
      </c>
      <c r="X28" s="71">
        <f>+Rollforward!X$29</f>
        <v>46691</v>
      </c>
      <c r="Y28" s="71">
        <f>+Rollforward!Y$29</f>
        <v>46721</v>
      </c>
      <c r="Z28" s="71">
        <f>+Rollforward!Z$29</f>
        <v>46752</v>
      </c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</row>
    <row r="29" spans="1:38" x14ac:dyDescent="0.75">
      <c r="A29" s="1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x14ac:dyDescent="0.75">
      <c r="A30" s="6" t="s">
        <v>122</v>
      </c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x14ac:dyDescent="0.75">
      <c r="A31" s="75" t="s">
        <v>123</v>
      </c>
      <c r="B31" s="80">
        <f>SUM(B39:AL39)</f>
        <v>49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spans="1:38" x14ac:dyDescent="0.75">
      <c r="A32" s="75" t="s">
        <v>124</v>
      </c>
      <c r="B32" s="80">
        <f>SUM(C40:AL40)</f>
        <v>1.1808277908260092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x14ac:dyDescent="0.75">
      <c r="A33" s="75" t="s">
        <v>125</v>
      </c>
      <c r="B33" s="80">
        <f>SUM(C41:AL41)</f>
        <v>0.41328972678910336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x14ac:dyDescent="0.75">
      <c r="A34" s="75" t="s">
        <v>126</v>
      </c>
      <c r="B34" s="80">
        <f>SUM(B43:AL43)</f>
        <v>9.1837009265607517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x14ac:dyDescent="0.75">
      <c r="A35" s="75" t="s">
        <v>127</v>
      </c>
      <c r="B35" s="81">
        <f>IFERROR((1+IRR(Returns!B41:Z41))^12-1,0)</f>
        <v>0.10565319647402527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x14ac:dyDescent="0.75">
      <c r="A36" s="75" t="s">
        <v>128</v>
      </c>
      <c r="B36" s="77">
        <f>-SUM(B43:Z43)/SUM(B42:Z42)</f>
        <v>1.1827493617540361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x14ac:dyDescent="0.75">
      <c r="A37" s="75" t="s">
        <v>129</v>
      </c>
      <c r="B37" s="80">
        <f>+SUM(B39:Z41)+SUM(B43:Z43)+SUM(B42:Z42)</f>
        <v>52.013112561822922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x14ac:dyDescent="0.75">
      <c r="A38" s="6" t="s">
        <v>130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x14ac:dyDescent="0.75">
      <c r="A39" s="8" t="s">
        <v>131</v>
      </c>
      <c r="B39" s="82">
        <f>+Sources_Uses!$B$16</f>
        <v>49</v>
      </c>
      <c r="C39" s="18">
        <f>0</f>
        <v>0</v>
      </c>
      <c r="D39" s="18">
        <f>0</f>
        <v>0</v>
      </c>
      <c r="E39" s="18">
        <f>0</f>
        <v>0</v>
      </c>
      <c r="F39" s="18">
        <f>0</f>
        <v>0</v>
      </c>
      <c r="G39" s="18">
        <f>0</f>
        <v>0</v>
      </c>
      <c r="H39" s="18">
        <f>0</f>
        <v>0</v>
      </c>
      <c r="I39" s="18">
        <f>0</f>
        <v>0</v>
      </c>
      <c r="J39" s="18">
        <f>0</f>
        <v>0</v>
      </c>
      <c r="K39" s="18">
        <f>0</f>
        <v>0</v>
      </c>
      <c r="L39" s="18">
        <f>0</f>
        <v>0</v>
      </c>
      <c r="M39" s="18">
        <f>0</f>
        <v>0</v>
      </c>
      <c r="N39" s="18">
        <f>0</f>
        <v>0</v>
      </c>
      <c r="O39" s="18">
        <f>0</f>
        <v>0</v>
      </c>
      <c r="P39" s="18">
        <f>0</f>
        <v>0</v>
      </c>
      <c r="Q39" s="18">
        <f>0</f>
        <v>0</v>
      </c>
      <c r="R39" s="18">
        <f>0</f>
        <v>0</v>
      </c>
      <c r="S39" s="18">
        <f>0</f>
        <v>0</v>
      </c>
      <c r="T39" s="18">
        <f>0</f>
        <v>0</v>
      </c>
      <c r="U39" s="18">
        <f>0</f>
        <v>0</v>
      </c>
      <c r="V39" s="18">
        <f>0</f>
        <v>0</v>
      </c>
      <c r="W39" s="18">
        <f>0</f>
        <v>0</v>
      </c>
      <c r="X39" s="18">
        <f>0</f>
        <v>0</v>
      </c>
      <c r="Y39" s="18">
        <f>0</f>
        <v>0</v>
      </c>
      <c r="Z39" s="18">
        <f>0</f>
        <v>0</v>
      </c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 spans="1:38" x14ac:dyDescent="0.75">
      <c r="A40" s="8" t="s">
        <v>132</v>
      </c>
      <c r="C40" s="82">
        <f>+Waterfall!C$38</f>
        <v>4.1666666666666664E-2</v>
      </c>
      <c r="D40" s="82">
        <f>+Waterfall!D$38</f>
        <v>4.1664666666666676E-2</v>
      </c>
      <c r="E40" s="82">
        <f>+Waterfall!E$38</f>
        <v>4.1662666762666681E-2</v>
      </c>
      <c r="F40" s="82">
        <f>+Waterfall!F$38</f>
        <v>4.1660416978661484E-2</v>
      </c>
      <c r="G40" s="82">
        <f>+Waterfall!G$38</f>
        <v>4.1658167316144641E-2</v>
      </c>
      <c r="H40" s="82">
        <f>+Waterfall!H$38</f>
        <v>4.165566782610567E-2</v>
      </c>
      <c r="I40" s="82">
        <f>+Waterfall!I$38</f>
        <v>4.1653168486036098E-2</v>
      </c>
      <c r="J40" s="82">
        <f>+Waterfall!J$38</f>
        <v>4.9984252548271185E-2</v>
      </c>
      <c r="K40" s="82">
        <f>+Waterfall!K$38</f>
        <v>4.9981553398633582E-2</v>
      </c>
      <c r="L40" s="82">
        <f>+Waterfall!L$38</f>
        <v>4.9978854394750055E-2</v>
      </c>
      <c r="M40" s="82">
        <f>+Waterfall!M$38</f>
        <v>4.9976455409739114E-2</v>
      </c>
      <c r="N40" s="82">
        <f>+Waterfall!N$38</f>
        <v>4.9974056539879443E-2</v>
      </c>
      <c r="O40" s="82">
        <f>+Waterfall!O$38</f>
        <v>4.9971657785165526E-2</v>
      </c>
      <c r="P40" s="82">
        <f>+Waterfall!P$38</f>
        <v>5.4135925812258505E-2</v>
      </c>
      <c r="Q40" s="82">
        <f>+Waterfall!Q$38</f>
        <v>5.413332728781952E-2</v>
      </c>
      <c r="R40" s="82">
        <f>+Waterfall!R$38</f>
        <v>5.4130728888109693E-2</v>
      </c>
      <c r="S40" s="82">
        <f>+Waterfall!S$38</f>
        <v>5.412813061312307E-2</v>
      </c>
      <c r="T40" s="82">
        <f>+Waterfall!T$38</f>
        <v>5.4125532462853627E-2</v>
      </c>
      <c r="U40" s="82">
        <f>+Waterfall!U$38</f>
        <v>5.4122934437295406E-2</v>
      </c>
      <c r="V40" s="82">
        <f>+Waterfall!V$38</f>
        <v>5.4120336536442416E-2</v>
      </c>
      <c r="W40" s="82">
        <f>+Waterfall!W$38</f>
        <v>5.4117738760288664E-2</v>
      </c>
      <c r="X40" s="82">
        <f>+Waterfall!X$38</f>
        <v>5.3100325271595229E-2</v>
      </c>
      <c r="Y40" s="82">
        <f>+Waterfall!Y$38</f>
        <v>5.2102039156489248E-2</v>
      </c>
      <c r="Z40" s="82">
        <f>+Waterfall!Z$38</f>
        <v>5.1122520820347246E-2</v>
      </c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</row>
    <row r="41" spans="1:38" x14ac:dyDescent="0.75">
      <c r="A41" s="8" t="s">
        <v>133</v>
      </c>
      <c r="C41" s="82">
        <f>+Waterfall!C$39</f>
        <v>1.4583333333333335E-2</v>
      </c>
      <c r="D41" s="82">
        <f>+Waterfall!D$39</f>
        <v>1.4582633333333336E-2</v>
      </c>
      <c r="E41" s="82">
        <f>+Waterfall!E$39</f>
        <v>1.4581933366933338E-2</v>
      </c>
      <c r="F41" s="82">
        <f>+Waterfall!F$39</f>
        <v>1.4581145942531522E-2</v>
      </c>
      <c r="G41" s="82">
        <f>+Waterfall!G$39</f>
        <v>1.4580358560650625E-2</v>
      </c>
      <c r="H41" s="82">
        <f>+Waterfall!H$39</f>
        <v>1.4579483739136983E-2</v>
      </c>
      <c r="I41" s="82">
        <f>+Waterfall!I$39</f>
        <v>1.4578608970112636E-2</v>
      </c>
      <c r="J41" s="82">
        <f>+Waterfall!J$39</f>
        <v>1.7494488391894915E-2</v>
      </c>
      <c r="K41" s="82">
        <f>+Waterfall!K$39</f>
        <v>1.7493543689521756E-2</v>
      </c>
      <c r="L41" s="82">
        <f>+Waterfall!L$39</f>
        <v>1.7492599038162523E-2</v>
      </c>
      <c r="M41" s="82">
        <f>+Waterfall!M$39</f>
        <v>1.749175939340869E-2</v>
      </c>
      <c r="N41" s="82">
        <f>+Waterfall!N$39</f>
        <v>1.7490919788957806E-2</v>
      </c>
      <c r="O41" s="82">
        <f>+Waterfall!O$39</f>
        <v>1.7490080224807934E-2</v>
      </c>
      <c r="P41" s="82">
        <f>+Waterfall!P$39</f>
        <v>1.8947574034290478E-2</v>
      </c>
      <c r="Q41" s="82">
        <f>+Waterfall!Q$39</f>
        <v>1.894666455073683E-2</v>
      </c>
      <c r="R41" s="82">
        <f>+Waterfall!R$39</f>
        <v>1.8945755110838392E-2</v>
      </c>
      <c r="S41" s="82">
        <f>+Waterfall!S$39</f>
        <v>1.8944845714593071E-2</v>
      </c>
      <c r="T41" s="82">
        <f>+Waterfall!T$39</f>
        <v>1.8943936361998769E-2</v>
      </c>
      <c r="U41" s="82">
        <f>+Waterfall!U$39</f>
        <v>1.8943027053053393E-2</v>
      </c>
      <c r="V41" s="82">
        <f>+Waterfall!V$39</f>
        <v>1.8942117787754845E-2</v>
      </c>
      <c r="W41" s="82">
        <f>+Waterfall!W$39</f>
        <v>1.8941208566101032E-2</v>
      </c>
      <c r="X41" s="82">
        <f>+Waterfall!X$39</f>
        <v>1.8585113845058333E-2</v>
      </c>
      <c r="Y41" s="82">
        <f>+Waterfall!Y$39</f>
        <v>1.8235713704771235E-2</v>
      </c>
      <c r="Z41" s="82">
        <f>+Waterfall!Z$39</f>
        <v>1.7892882287121537E-2</v>
      </c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</row>
    <row r="42" spans="1:38" x14ac:dyDescent="0.75">
      <c r="A42" s="8" t="s">
        <v>134</v>
      </c>
      <c r="B42" s="82">
        <f>+Returns!B$39</f>
        <v>-6</v>
      </c>
      <c r="C42" s="82">
        <f>+Returns!C$39</f>
        <v>0</v>
      </c>
      <c r="D42" s="82">
        <f>+Returns!D$39</f>
        <v>0</v>
      </c>
      <c r="E42" s="82">
        <f>+Returns!E$39</f>
        <v>0</v>
      </c>
      <c r="F42" s="82">
        <f>+Returns!F$39</f>
        <v>0</v>
      </c>
      <c r="G42" s="82">
        <f>+Returns!G$39</f>
        <v>0</v>
      </c>
      <c r="H42" s="82">
        <f>+Returns!H$39</f>
        <v>0</v>
      </c>
      <c r="I42" s="82">
        <f>+Returns!I$39</f>
        <v>-1.1764705882352942</v>
      </c>
      <c r="J42" s="82">
        <f>+Returns!J$39</f>
        <v>0</v>
      </c>
      <c r="K42" s="82">
        <f>+Returns!K$39</f>
        <v>0</v>
      </c>
      <c r="L42" s="82">
        <f>+Returns!L$39</f>
        <v>0</v>
      </c>
      <c r="M42" s="82">
        <f>+Returns!M$39</f>
        <v>0</v>
      </c>
      <c r="N42" s="82">
        <f>+Returns!N$39</f>
        <v>0</v>
      </c>
      <c r="O42" s="82">
        <f>+Returns!O$39</f>
        <v>-0.58823529411764708</v>
      </c>
      <c r="P42" s="82">
        <f>+Returns!P$39</f>
        <v>0</v>
      </c>
      <c r="Q42" s="82">
        <f>+Returns!Q$39</f>
        <v>0</v>
      </c>
      <c r="R42" s="82">
        <f>+Returns!R$39</f>
        <v>0</v>
      </c>
      <c r="S42" s="82">
        <f>+Returns!S$39</f>
        <v>0</v>
      </c>
      <c r="T42" s="82">
        <f>+Returns!T$39</f>
        <v>0</v>
      </c>
      <c r="U42" s="82">
        <f>+Returns!U$39</f>
        <v>0</v>
      </c>
      <c r="V42" s="82">
        <f>+Returns!V$39</f>
        <v>0</v>
      </c>
      <c r="W42" s="82">
        <f>+Returns!W$39</f>
        <v>0</v>
      </c>
      <c r="X42" s="82">
        <f>+Returns!X$39</f>
        <v>0</v>
      </c>
      <c r="Y42" s="82">
        <f>+Returns!Y$39</f>
        <v>0</v>
      </c>
      <c r="Z42" s="82">
        <f>+Returns!Z$39</f>
        <v>0</v>
      </c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</row>
    <row r="43" spans="1:38" ht="15" customHeight="1" x14ac:dyDescent="0.75">
      <c r="A43" s="8" t="s">
        <v>135</v>
      </c>
      <c r="B43" s="82">
        <f>+Returns!B$40</f>
        <v>0</v>
      </c>
      <c r="C43" s="82">
        <f>+Returns!C$40</f>
        <v>5.2539215686274558E-2</v>
      </c>
      <c r="D43" s="82">
        <f>+Returns!D$40</f>
        <v>5.2536592156862752E-2</v>
      </c>
      <c r="E43" s="82">
        <f>+Returns!E$40</f>
        <v>5.2533968753380407E-2</v>
      </c>
      <c r="F43" s="82">
        <f>+Returns!F$40</f>
        <v>5.2531017566126541E-2</v>
      </c>
      <c r="G43" s="82">
        <f>+Returns!G$40</f>
        <v>5.2528066538236773E-2</v>
      </c>
      <c r="H43" s="82">
        <f>+Returns!H$40</f>
        <v>5.2524787795420989E-2</v>
      </c>
      <c r="I43" s="82">
        <f>+Returns!I$40</f>
        <v>5.2521509249329724E-2</v>
      </c>
      <c r="J43" s="82">
        <f>+Returns!J$40</f>
        <v>6.3449931283908703E-2</v>
      </c>
      <c r="K43" s="82">
        <f>+Returns!K$40</f>
        <v>6.3446390634678163E-2</v>
      </c>
      <c r="L43" s="82">
        <f>+Returns!L$40</f>
        <v>6.3442850176642723E-2</v>
      </c>
      <c r="M43" s="82">
        <f>+Returns!M$40</f>
        <v>6.3439703272775427E-2</v>
      </c>
      <c r="N43" s="82">
        <f>+Returns!N$40</f>
        <v>6.3436556519959511E-2</v>
      </c>
      <c r="O43" s="82">
        <f>+Returns!O$40</f>
        <v>6.3433409918187716E-2</v>
      </c>
      <c r="P43" s="82">
        <f>+Returns!P$40</f>
        <v>6.88959497419626E-2</v>
      </c>
      <c r="Q43" s="82">
        <f>+Returns!Q$40</f>
        <v>6.8892541089316181E-2</v>
      </c>
      <c r="R43" s="82">
        <f>+Returns!R$40</f>
        <v>6.888913260028505E-2</v>
      </c>
      <c r="S43" s="82">
        <f>+Returns!S$40</f>
        <v>6.8885724274861435E-2</v>
      </c>
      <c r="T43" s="82">
        <f>+Returns!T$40</f>
        <v>6.888231611303744E-2</v>
      </c>
      <c r="U43" s="82">
        <f>+Returns!U$40</f>
        <v>6.8878908114805196E-2</v>
      </c>
      <c r="V43" s="82">
        <f>+Returns!V$40</f>
        <v>6.8875500280156779E-2</v>
      </c>
      <c r="W43" s="82">
        <f>+Returns!W$40</f>
        <v>0.21214021080667506</v>
      </c>
      <c r="X43" s="82">
        <f>+Returns!X$40</f>
        <v>0.20811216307880376</v>
      </c>
      <c r="Y43" s="82">
        <f>+Returns!Y$40</f>
        <v>0.20415984264821627</v>
      </c>
      <c r="Z43" s="82">
        <f>+Returns!Z$40</f>
        <v>7.328724638260848</v>
      </c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</row>
    <row r="44" spans="1:38" ht="15" customHeight="1" x14ac:dyDescent="0.75">
      <c r="A44" s="72" t="s">
        <v>113</v>
      </c>
      <c r="B44" s="73">
        <f t="shared" ref="B44:Z44" si="2">SUM(B39:B43)</f>
        <v>43</v>
      </c>
      <c r="C44" s="73">
        <f t="shared" si="2"/>
        <v>0.10878921568627456</v>
      </c>
      <c r="D44" s="73">
        <f t="shared" si="2"/>
        <v>0.10878389215686277</v>
      </c>
      <c r="E44" s="73">
        <f t="shared" si="2"/>
        <v>0.10877856888298043</v>
      </c>
      <c r="F44" s="73">
        <f t="shared" si="2"/>
        <v>0.10877258048731955</v>
      </c>
      <c r="G44" s="73">
        <f t="shared" si="2"/>
        <v>0.10876659241503203</v>
      </c>
      <c r="H44" s="73">
        <f t="shared" si="2"/>
        <v>0.10875993936066364</v>
      </c>
      <c r="I44" s="73">
        <f t="shared" si="2"/>
        <v>-1.0677173015298158</v>
      </c>
      <c r="J44" s="73">
        <f t="shared" si="2"/>
        <v>0.13092867222407478</v>
      </c>
      <c r="K44" s="73">
        <f t="shared" si="2"/>
        <v>0.13092148772283352</v>
      </c>
      <c r="L44" s="73">
        <f t="shared" si="2"/>
        <v>0.1309143036095553</v>
      </c>
      <c r="M44" s="73">
        <f t="shared" si="2"/>
        <v>0.13090791807592322</v>
      </c>
      <c r="N44" s="73">
        <f t="shared" si="2"/>
        <v>0.13090153284879674</v>
      </c>
      <c r="O44" s="73">
        <f t="shared" si="2"/>
        <v>-0.45734014618948593</v>
      </c>
      <c r="P44" s="73">
        <f t="shared" si="2"/>
        <v>0.14197944958851158</v>
      </c>
      <c r="Q44" s="73">
        <f t="shared" si="2"/>
        <v>0.14197253292787254</v>
      </c>
      <c r="R44" s="73">
        <f t="shared" si="2"/>
        <v>0.14196561659923312</v>
      </c>
      <c r="S44" s="73">
        <f t="shared" si="2"/>
        <v>0.14195870060257759</v>
      </c>
      <c r="T44" s="73">
        <f t="shared" si="2"/>
        <v>0.14195178493788985</v>
      </c>
      <c r="U44" s="73">
        <f t="shared" si="2"/>
        <v>0.14194486960515401</v>
      </c>
      <c r="V44" s="73">
        <f t="shared" si="2"/>
        <v>0.14193795460435404</v>
      </c>
      <c r="W44" s="73">
        <f t="shared" si="2"/>
        <v>0.28519915813306473</v>
      </c>
      <c r="X44" s="73">
        <f t="shared" si="2"/>
        <v>0.27979760219545735</v>
      </c>
      <c r="Y44" s="73">
        <f t="shared" si="2"/>
        <v>0.27449759550947672</v>
      </c>
      <c r="Z44" s="73">
        <f t="shared" si="2"/>
        <v>7.3977400413683165</v>
      </c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</row>
    <row r="45" spans="1:38" x14ac:dyDescent="0.75">
      <c r="A45" s="72" t="s">
        <v>114</v>
      </c>
      <c r="B45" s="73">
        <f>B44</f>
        <v>43</v>
      </c>
      <c r="C45" s="73">
        <f t="shared" ref="C45:Z45" si="3">B45+C44</f>
        <v>43.108789215686272</v>
      </c>
      <c r="D45" s="73">
        <f t="shared" si="3"/>
        <v>43.217573107843137</v>
      </c>
      <c r="E45" s="73">
        <f t="shared" si="3"/>
        <v>43.326351676726119</v>
      </c>
      <c r="F45" s="73">
        <f t="shared" si="3"/>
        <v>43.435124257213438</v>
      </c>
      <c r="G45" s="73">
        <f t="shared" si="3"/>
        <v>43.543890849628468</v>
      </c>
      <c r="H45" s="73">
        <f t="shared" si="3"/>
        <v>43.652650788989135</v>
      </c>
      <c r="I45" s="73">
        <f t="shared" si="3"/>
        <v>42.584933487459317</v>
      </c>
      <c r="J45" s="73">
        <f t="shared" si="3"/>
        <v>42.71586215968339</v>
      </c>
      <c r="K45" s="73">
        <f t="shared" si="3"/>
        <v>42.846783647406227</v>
      </c>
      <c r="L45" s="73">
        <f t="shared" si="3"/>
        <v>42.977697951015784</v>
      </c>
      <c r="M45" s="73">
        <f t="shared" si="3"/>
        <v>43.108605869091704</v>
      </c>
      <c r="N45" s="73">
        <f t="shared" si="3"/>
        <v>43.2395074019405</v>
      </c>
      <c r="O45" s="73">
        <f t="shared" si="3"/>
        <v>42.782167255751013</v>
      </c>
      <c r="P45" s="73">
        <f t="shared" si="3"/>
        <v>42.924146705339524</v>
      </c>
      <c r="Q45" s="73">
        <f t="shared" si="3"/>
        <v>43.066119238267397</v>
      </c>
      <c r="R45" s="73">
        <f t="shared" si="3"/>
        <v>43.208084854866634</v>
      </c>
      <c r="S45" s="73">
        <f t="shared" si="3"/>
        <v>43.350043555469213</v>
      </c>
      <c r="T45" s="73">
        <f t="shared" si="3"/>
        <v>43.491995340407101</v>
      </c>
      <c r="U45" s="73">
        <f t="shared" si="3"/>
        <v>43.633940210012256</v>
      </c>
      <c r="V45" s="73">
        <f t="shared" si="3"/>
        <v>43.775878164616607</v>
      </c>
      <c r="W45" s="73">
        <f t="shared" si="3"/>
        <v>44.061077322749675</v>
      </c>
      <c r="X45" s="73">
        <f t="shared" si="3"/>
        <v>44.340874924945133</v>
      </c>
      <c r="Y45" s="73">
        <f t="shared" si="3"/>
        <v>44.615372520454613</v>
      </c>
      <c r="Z45" s="73">
        <f t="shared" si="3"/>
        <v>52.013112561822929</v>
      </c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</row>
    <row r="49" spans="1:38" ht="19.5" customHeight="1" x14ac:dyDescent="0.95">
      <c r="A49" s="48" t="s">
        <v>90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5"/>
      <c r="Z49" s="5"/>
      <c r="AA49" s="69"/>
    </row>
    <row r="50" spans="1:38" x14ac:dyDescent="0.75">
      <c r="A50" s="6" t="s">
        <v>121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x14ac:dyDescent="0.75">
      <c r="A51" s="15"/>
      <c r="B51" s="70">
        <f>+Rollforward!B$5</f>
        <v>0</v>
      </c>
      <c r="C51" s="70">
        <f>+Rollforward!C$28</f>
        <v>1</v>
      </c>
      <c r="D51" s="70">
        <f>+Rollforward!D$28</f>
        <v>2</v>
      </c>
      <c r="E51" s="70">
        <f>+Rollforward!E$28</f>
        <v>3</v>
      </c>
      <c r="F51" s="70">
        <f>+Rollforward!F$28</f>
        <v>4</v>
      </c>
      <c r="G51" s="70">
        <f>+Rollforward!G$28</f>
        <v>5</v>
      </c>
      <c r="H51" s="70">
        <f>+Rollforward!H$28</f>
        <v>6</v>
      </c>
      <c r="I51" s="70">
        <f>+Rollforward!I$28</f>
        <v>7</v>
      </c>
      <c r="J51" s="70">
        <f>+Rollforward!J$28</f>
        <v>8</v>
      </c>
      <c r="K51" s="70">
        <f>+Rollforward!K$28</f>
        <v>9</v>
      </c>
      <c r="L51" s="70">
        <f>+Rollforward!L$28</f>
        <v>10</v>
      </c>
      <c r="M51" s="70">
        <f>+Rollforward!M$28</f>
        <v>11</v>
      </c>
      <c r="N51" s="70">
        <f>+Rollforward!N$28</f>
        <v>12</v>
      </c>
      <c r="O51" s="70">
        <f>+Rollforward!O$28</f>
        <v>13</v>
      </c>
      <c r="P51" s="70">
        <f>+Rollforward!P$28</f>
        <v>14</v>
      </c>
      <c r="Q51" s="70">
        <f>+Rollforward!Q$28</f>
        <v>15</v>
      </c>
      <c r="R51" s="70">
        <f>+Rollforward!R$28</f>
        <v>16</v>
      </c>
      <c r="S51" s="70">
        <f>+Rollforward!S$28</f>
        <v>17</v>
      </c>
      <c r="T51" s="70">
        <f>+Rollforward!T$28</f>
        <v>18</v>
      </c>
      <c r="U51" s="70">
        <f>+Rollforward!U$28</f>
        <v>19</v>
      </c>
      <c r="V51" s="70">
        <f>+Rollforward!V$28</f>
        <v>20</v>
      </c>
      <c r="W51" s="70">
        <f>+Rollforward!W$28</f>
        <v>21</v>
      </c>
      <c r="X51" s="70">
        <f>+Rollforward!X$28</f>
        <v>22</v>
      </c>
      <c r="Y51" s="5"/>
      <c r="Z51" s="5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</row>
    <row r="52" spans="1:38" x14ac:dyDescent="0.75">
      <c r="A52" s="15"/>
      <c r="B52" s="71" t="str">
        <f>+Rollforward!B$6</f>
        <v>Close / M0</v>
      </c>
      <c r="C52" s="71">
        <f>+Rollforward!C$29</f>
        <v>46053</v>
      </c>
      <c r="D52" s="71">
        <f>+Rollforward!D$29</f>
        <v>46081</v>
      </c>
      <c r="E52" s="71">
        <f>+Rollforward!E$29</f>
        <v>46112</v>
      </c>
      <c r="F52" s="71">
        <f>+Rollforward!F$29</f>
        <v>46142</v>
      </c>
      <c r="G52" s="71">
        <f>+Rollforward!G$29</f>
        <v>46173</v>
      </c>
      <c r="H52" s="71">
        <f>+Rollforward!H$29</f>
        <v>46203</v>
      </c>
      <c r="I52" s="71">
        <f>+Rollforward!I$29</f>
        <v>46234</v>
      </c>
      <c r="J52" s="71">
        <f>+Rollforward!J$29</f>
        <v>46265</v>
      </c>
      <c r="K52" s="71">
        <f>+Rollforward!K$29</f>
        <v>46295</v>
      </c>
      <c r="L52" s="71">
        <f>+Rollforward!L$29</f>
        <v>46326</v>
      </c>
      <c r="M52" s="71">
        <f>+Rollforward!M$29</f>
        <v>46356</v>
      </c>
      <c r="N52" s="71">
        <f>+Rollforward!N$29</f>
        <v>46387</v>
      </c>
      <c r="O52" s="71">
        <f>+Rollforward!O$29</f>
        <v>46418</v>
      </c>
      <c r="P52" s="71">
        <f>+Rollforward!P$29</f>
        <v>46446</v>
      </c>
      <c r="Q52" s="71">
        <f>+Rollforward!Q$29</f>
        <v>46477</v>
      </c>
      <c r="R52" s="71">
        <f>+Rollforward!R$29</f>
        <v>46507</v>
      </c>
      <c r="S52" s="71">
        <f>+Rollforward!S$29</f>
        <v>46538</v>
      </c>
      <c r="T52" s="71">
        <f>+Rollforward!T$29</f>
        <v>46568</v>
      </c>
      <c r="U52" s="71">
        <f>+Rollforward!U$29</f>
        <v>46599</v>
      </c>
      <c r="V52" s="71">
        <f>+Rollforward!V$29</f>
        <v>46630</v>
      </c>
      <c r="W52" s="71">
        <f>+Rollforward!W$29</f>
        <v>46660</v>
      </c>
      <c r="X52" s="71">
        <f>+Rollforward!X$29</f>
        <v>46691</v>
      </c>
      <c r="Y52" s="5"/>
      <c r="Z52" s="5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</row>
    <row r="53" spans="1:38" x14ac:dyDescent="0.75">
      <c r="A53" s="1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x14ac:dyDescent="0.75">
      <c r="A54" s="6" t="s">
        <v>122</v>
      </c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x14ac:dyDescent="0.75">
      <c r="A55" s="75" t="s">
        <v>123</v>
      </c>
      <c r="B55" s="80">
        <f>SUM(B63:AL63)</f>
        <v>49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x14ac:dyDescent="0.75">
      <c r="A56" s="75" t="s">
        <v>124</v>
      </c>
      <c r="B56" s="80">
        <f>SUM(C64:AL64)</f>
        <v>0.71510398169590561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x14ac:dyDescent="0.75">
      <c r="A57" s="75" t="s">
        <v>125</v>
      </c>
      <c r="B57" s="80">
        <f>SUM(C65:Z65)</f>
        <v>0.26423670593358728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x14ac:dyDescent="0.75">
      <c r="A58" s="75" t="s">
        <v>126</v>
      </c>
      <c r="B58" s="80">
        <f>SUM(B67:AL67)</f>
        <v>6.6542228442486202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x14ac:dyDescent="0.75">
      <c r="A59" s="75" t="s">
        <v>127</v>
      </c>
      <c r="B59" s="81">
        <f>IFERROR((1+IRR(Returns!$B$67:$X$67))^12-1,0)</f>
        <v>7.5084548955021813E-2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x14ac:dyDescent="0.75">
      <c r="A60" s="75" t="s">
        <v>128</v>
      </c>
      <c r="B60" s="77">
        <f>-SUM(B67:X67)/SUM(B66:X66)</f>
        <v>1.1090371407081034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x14ac:dyDescent="0.75">
      <c r="A61" s="75" t="s">
        <v>129</v>
      </c>
      <c r="B61" s="80">
        <f>+SUM(B63:X65)+SUM(B67:X67)+SUM(B66:X66)</f>
        <v>50.633563531878117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x14ac:dyDescent="0.75">
      <c r="A62" s="6" t="s">
        <v>130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x14ac:dyDescent="0.75">
      <c r="A63" s="8" t="s">
        <v>131</v>
      </c>
      <c r="B63" s="82">
        <f>+Sources_Uses!$B$16</f>
        <v>49</v>
      </c>
      <c r="C63" s="18">
        <f>0</f>
        <v>0</v>
      </c>
      <c r="D63" s="18">
        <f>0</f>
        <v>0</v>
      </c>
      <c r="E63" s="18">
        <f>0</f>
        <v>0</v>
      </c>
      <c r="F63" s="18">
        <f>0</f>
        <v>0</v>
      </c>
      <c r="G63" s="18">
        <f>0</f>
        <v>0</v>
      </c>
      <c r="H63" s="18">
        <f>0</f>
        <v>0</v>
      </c>
      <c r="I63" s="18">
        <f>0</f>
        <v>0</v>
      </c>
      <c r="J63" s="18">
        <f>0</f>
        <v>0</v>
      </c>
      <c r="K63" s="18">
        <f>0</f>
        <v>0</v>
      </c>
      <c r="L63" s="18">
        <f>0</f>
        <v>0</v>
      </c>
      <c r="M63" s="18">
        <f>0</f>
        <v>0</v>
      </c>
      <c r="N63" s="18">
        <f>0</f>
        <v>0</v>
      </c>
      <c r="O63" s="18">
        <f>0</f>
        <v>0</v>
      </c>
      <c r="P63" s="18">
        <f>0</f>
        <v>0</v>
      </c>
      <c r="Q63" s="18">
        <f>0</f>
        <v>0</v>
      </c>
      <c r="R63" s="18">
        <f>0</f>
        <v>0</v>
      </c>
      <c r="S63" s="18">
        <f>0</f>
        <v>0</v>
      </c>
      <c r="T63" s="18">
        <f>0</f>
        <v>0</v>
      </c>
      <c r="U63" s="18">
        <f>0</f>
        <v>0</v>
      </c>
      <c r="V63" s="18">
        <f>0</f>
        <v>0</v>
      </c>
      <c r="W63" s="18">
        <f>0</f>
        <v>0</v>
      </c>
      <c r="X63" s="18">
        <f>0</f>
        <v>0</v>
      </c>
      <c r="Y63" s="5"/>
      <c r="Z63" s="5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 spans="1:38" x14ac:dyDescent="0.75">
      <c r="A64" s="8" t="s">
        <v>132</v>
      </c>
      <c r="C64" s="82">
        <f>+Waterfall!C$63</f>
        <v>4.1666666666666664E-2</v>
      </c>
      <c r="D64" s="82">
        <f>+Waterfall!D$63</f>
        <v>4.1458666666666665E-2</v>
      </c>
      <c r="E64" s="82">
        <f>+Waterfall!E$63</f>
        <v>4.0951544255999998E-2</v>
      </c>
      <c r="F64" s="82">
        <f>+Waterfall!F$63</f>
        <v>4.0446038393703934E-2</v>
      </c>
      <c r="G64" s="82">
        <f>+Waterfall!G$63</f>
        <v>3.9942242539471956E-2</v>
      </c>
      <c r="H64" s="82">
        <f>+Waterfall!H$63</f>
        <v>3.9440248435235872E-2</v>
      </c>
      <c r="I64" s="82">
        <f>+Waterfall!I$63</f>
        <v>3.8454242224354972E-2</v>
      </c>
      <c r="J64" s="82">
        <f>+Waterfall!J$63</f>
        <v>3.7485195320301229E-2</v>
      </c>
      <c r="K64" s="82">
        <f>+Waterfall!K$63</f>
        <v>3.6536819878697606E-2</v>
      </c>
      <c r="L64" s="82">
        <f>+Waterfall!L$63</f>
        <v>3.2047906188400817E-2</v>
      </c>
      <c r="M64" s="82">
        <f>+Waterfall!M$63</f>
        <v>3.1230684580596597E-2</v>
      </c>
      <c r="N64" s="82">
        <f>+Waterfall!N$63</f>
        <v>3.0431179055333324E-2</v>
      </c>
      <c r="O64" s="82">
        <f>+Waterfall!O$63</f>
        <v>2.9652140871516793E-2</v>
      </c>
      <c r="P64" s="82">
        <f>+Waterfall!P$63</f>
        <v>2.8896011279293112E-2</v>
      </c>
      <c r="Q64" s="82">
        <f>+Waterfall!Q$63</f>
        <v>2.8162052592799067E-2</v>
      </c>
      <c r="R64" s="82">
        <f>+Waterfall!R$63</f>
        <v>2.7449552662201251E-2</v>
      </c>
      <c r="S64" s="82">
        <f>+Waterfall!S$63</f>
        <v>2.6757823935113778E-2</v>
      </c>
      <c r="T64" s="82">
        <f>+Waterfall!T$63</f>
        <v>2.6086202554342418E-2</v>
      </c>
      <c r="U64" s="82">
        <f>+Waterfall!U$63</f>
        <v>2.543404749048386E-2</v>
      </c>
      <c r="V64" s="82">
        <f>+Waterfall!V$63</f>
        <v>2.4800739707970809E-2</v>
      </c>
      <c r="W64" s="82">
        <f>+Waterfall!W$63</f>
        <v>2.4185681363213137E-2</v>
      </c>
      <c r="X64" s="82">
        <f>+Waterfall!X$63</f>
        <v>2.3588295033541776E-2</v>
      </c>
      <c r="Y64" s="5"/>
      <c r="Z64" s="5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</row>
    <row r="65" spans="1:38" x14ac:dyDescent="0.75">
      <c r="A65" s="8" t="s">
        <v>133</v>
      </c>
      <c r="C65" s="82">
        <f>+Waterfall!C$64</f>
        <v>1.4583333333333335E-2</v>
      </c>
      <c r="D65" s="82">
        <f>+Waterfall!D$64</f>
        <v>1.4510533333333332E-2</v>
      </c>
      <c r="E65" s="82">
        <f>+Waterfall!E$64</f>
        <v>1.4333040489599999E-2</v>
      </c>
      <c r="F65" s="82">
        <f>+Waterfall!F$64</f>
        <v>1.4156113437796379E-2</v>
      </c>
      <c r="G65" s="82">
        <f>+Waterfall!G$64</f>
        <v>1.3979784888815183E-2</v>
      </c>
      <c r="H65" s="82">
        <f>+Waterfall!H$64</f>
        <v>1.3804086952332555E-2</v>
      </c>
      <c r="I65" s="82">
        <f>+Waterfall!I$64</f>
        <v>1.345898477852424E-2</v>
      </c>
      <c r="J65" s="82">
        <f>+Waterfall!J$64</f>
        <v>1.3119818362105429E-2</v>
      </c>
      <c r="K65" s="82">
        <f>+Waterfall!K$64</f>
        <v>1.2787886957544162E-2</v>
      </c>
      <c r="L65" s="82">
        <f>+Waterfall!L$64</f>
        <v>1.2463074628822542E-2</v>
      </c>
      <c r="M65" s="82">
        <f>+Waterfall!M$64</f>
        <v>1.2145266225787566E-2</v>
      </c>
      <c r="N65" s="82">
        <f>+Waterfall!N$64</f>
        <v>1.1834347410407405E-2</v>
      </c>
      <c r="O65" s="82">
        <f>+Waterfall!O$64</f>
        <v>1.1531388116700977E-2</v>
      </c>
      <c r="P65" s="82">
        <f>+Waterfall!P$64</f>
        <v>1.1237337719725101E-2</v>
      </c>
      <c r="Q65" s="82">
        <f>+Waterfall!Q$64</f>
        <v>1.0951909341644082E-2</v>
      </c>
      <c r="R65" s="82">
        <f>+Waterfall!R$64</f>
        <v>1.0674826035300488E-2</v>
      </c>
      <c r="S65" s="82">
        <f>+Waterfall!S$64</f>
        <v>1.0405820419210914E-2</v>
      </c>
      <c r="T65" s="82">
        <f>+Waterfall!T$64</f>
        <v>1.0144634326688719E-2</v>
      </c>
      <c r="U65" s="82">
        <f>+Waterfall!U$64</f>
        <v>9.8910184685215008E-3</v>
      </c>
      <c r="V65" s="82">
        <f>+Waterfall!V$64</f>
        <v>9.6447321086553153E-3</v>
      </c>
      <c r="W65" s="82">
        <f>+Waterfall!W$64</f>
        <v>9.4055427523606645E-3</v>
      </c>
      <c r="X65" s="82">
        <f>+Waterfall!X$64</f>
        <v>9.1732258463773572E-3</v>
      </c>
      <c r="Y65" s="5"/>
      <c r="Z65" s="5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</row>
    <row r="66" spans="1:38" x14ac:dyDescent="0.75">
      <c r="A66" s="8" t="s">
        <v>134</v>
      </c>
      <c r="B66" s="82">
        <f>+Returns!B$65</f>
        <v>-6</v>
      </c>
      <c r="C66" s="82">
        <f>+Returns!C$65</f>
        <v>0</v>
      </c>
      <c r="D66" s="82">
        <f>+Returns!D$65</f>
        <v>0</v>
      </c>
      <c r="E66" s="82">
        <f>+Returns!E$65</f>
        <v>0</v>
      </c>
      <c r="F66" s="82">
        <f>+Returns!F$65</f>
        <v>0</v>
      </c>
      <c r="G66" s="82">
        <f>+Returns!G$65</f>
        <v>0</v>
      </c>
      <c r="H66" s="82">
        <f>+Returns!H$65</f>
        <v>0</v>
      </c>
      <c r="I66" s="82">
        <f>+Returns!I$65</f>
        <v>0</v>
      </c>
      <c r="J66" s="82">
        <f>+Returns!J$65</f>
        <v>0</v>
      </c>
      <c r="K66" s="82">
        <f>+Returns!K$65</f>
        <v>0</v>
      </c>
      <c r="L66" s="82">
        <f>+Returns!L$65</f>
        <v>0</v>
      </c>
      <c r="M66" s="82">
        <f>+Returns!M$65</f>
        <v>0</v>
      </c>
      <c r="N66" s="82">
        <f>+Returns!N$65</f>
        <v>0</v>
      </c>
      <c r="O66" s="82">
        <f>+Returns!O$65</f>
        <v>0</v>
      </c>
      <c r="P66" s="82">
        <f>+Returns!P$65</f>
        <v>0</v>
      </c>
      <c r="Q66" s="82">
        <f>+Returns!Q$65</f>
        <v>0</v>
      </c>
      <c r="R66" s="82">
        <f>+Returns!R$65</f>
        <v>0</v>
      </c>
      <c r="S66" s="82">
        <f>+Returns!S$65</f>
        <v>0</v>
      </c>
      <c r="T66" s="82">
        <f>+Returns!T$65</f>
        <v>0</v>
      </c>
      <c r="U66" s="82">
        <f>+Returns!U$65</f>
        <v>0</v>
      </c>
      <c r="V66" s="82">
        <f>+Returns!V$65</f>
        <v>0</v>
      </c>
      <c r="W66" s="82">
        <f>+Returns!W$65</f>
        <v>0</v>
      </c>
      <c r="X66" s="82">
        <f>+Returns!X$65</f>
        <v>0</v>
      </c>
      <c r="Y66" s="5"/>
      <c r="Z66" s="5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</row>
    <row r="67" spans="1:38" ht="15" customHeight="1" x14ac:dyDescent="0.75">
      <c r="A67" s="8" t="s">
        <v>135</v>
      </c>
      <c r="B67" s="82">
        <f>+Returns!B$66</f>
        <v>0</v>
      </c>
      <c r="C67" s="82">
        <f>+Returns!C$66</f>
        <v>7.1443137254901951E-2</v>
      </c>
      <c r="D67" s="82">
        <f>+Returns!D$66</f>
        <v>0.11330873574901958</v>
      </c>
      <c r="E67" s="82">
        <f>+Returns!E$66</f>
        <v>0.11239984671374155</v>
      </c>
      <c r="F67" s="82">
        <f>+Returns!F$66</f>
        <v>0.11148291637701004</v>
      </c>
      <c r="G67" s="82">
        <f>+Returns!G$66</f>
        <v>0.11055826973675549</v>
      </c>
      <c r="H67" s="82">
        <f>+Returns!H$66</f>
        <v>0.17822442364991425</v>
      </c>
      <c r="I67" s="82">
        <f>+Returns!I$66</f>
        <v>0.17465958199487625</v>
      </c>
      <c r="J67" s="82">
        <f>+Returns!J$66</f>
        <v>0.17065863542576115</v>
      </c>
      <c r="K67" s="82">
        <f>+Returns!K$66</f>
        <v>0.16672940585292359</v>
      </c>
      <c r="L67" s="82">
        <f>+Returns!L$66</f>
        <v>0.16329005142953187</v>
      </c>
      <c r="M67" s="82">
        <f>+Returns!M$66</f>
        <v>0.1594912610385639</v>
      </c>
      <c r="N67" s="82">
        <f>+Returns!N$66</f>
        <v>0.15534202593244728</v>
      </c>
      <c r="O67" s="82">
        <f>+Returns!O$66</f>
        <v>0.15088969541811489</v>
      </c>
      <c r="P67" s="82">
        <f>+Returns!P$66</f>
        <v>0.14657712991160743</v>
      </c>
      <c r="Q67" s="82">
        <f>+Returns!Q$66</f>
        <v>0.14239958287017943</v>
      </c>
      <c r="R67" s="82">
        <f>+Returns!R$66</f>
        <v>0.13835247959857977</v>
      </c>
      <c r="S67" s="82">
        <f>+Returns!S$66</f>
        <v>0.13443141068033634</v>
      </c>
      <c r="T67" s="82">
        <f>+Returns!T$66</f>
        <v>0.13063212567229404</v>
      </c>
      <c r="U67" s="82">
        <f>+Returns!U$66</f>
        <v>0.12695052705140236</v>
      </c>
      <c r="V67" s="82">
        <f>+Returns!V$66</f>
        <v>0.12338266440322615</v>
      </c>
      <c r="W67" s="82">
        <f>+Returns!W$66</f>
        <v>0.11992472884211042</v>
      </c>
      <c r="X67" s="82">
        <f>+Returns!X$66</f>
        <v>3.7530942086453227</v>
      </c>
      <c r="Y67" s="5"/>
      <c r="Z67" s="5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</row>
    <row r="68" spans="1:38" ht="15" customHeight="1" x14ac:dyDescent="0.75">
      <c r="A68" s="72" t="s">
        <v>113</v>
      </c>
      <c r="B68" s="73">
        <f t="shared" ref="B68:X68" si="4">SUM(B63:B67)</f>
        <v>43</v>
      </c>
      <c r="C68" s="73">
        <f t="shared" si="4"/>
        <v>0.12769313725490194</v>
      </c>
      <c r="D68" s="73">
        <f t="shared" si="4"/>
        <v>0.16927793574901956</v>
      </c>
      <c r="E68" s="73">
        <f t="shared" si="4"/>
        <v>0.16768443145934153</v>
      </c>
      <c r="F68" s="73">
        <f t="shared" si="4"/>
        <v>0.16608506820851035</v>
      </c>
      <c r="G68" s="73">
        <f t="shared" si="4"/>
        <v>0.16448029716504264</v>
      </c>
      <c r="H68" s="73">
        <f t="shared" si="4"/>
        <v>0.23146875903748268</v>
      </c>
      <c r="I68" s="73">
        <f t="shared" si="4"/>
        <v>0.22657280899775545</v>
      </c>
      <c r="J68" s="73">
        <f t="shared" si="4"/>
        <v>0.22126364910816781</v>
      </c>
      <c r="K68" s="73">
        <f t="shared" si="4"/>
        <v>0.21605411268916536</v>
      </c>
      <c r="L68" s="73">
        <f t="shared" si="4"/>
        <v>0.20780103224675522</v>
      </c>
      <c r="M68" s="73">
        <f t="shared" si="4"/>
        <v>0.20286721184494805</v>
      </c>
      <c r="N68" s="73">
        <f t="shared" si="4"/>
        <v>0.197607552398188</v>
      </c>
      <c r="O68" s="73">
        <f t="shared" si="4"/>
        <v>0.19207322440633268</v>
      </c>
      <c r="P68" s="73">
        <f t="shared" si="4"/>
        <v>0.18671047891062564</v>
      </c>
      <c r="Q68" s="73">
        <f t="shared" si="4"/>
        <v>0.18151354480462256</v>
      </c>
      <c r="R68" s="73">
        <f t="shared" si="4"/>
        <v>0.17647685829608151</v>
      </c>
      <c r="S68" s="73">
        <f t="shared" si="4"/>
        <v>0.17159505503466105</v>
      </c>
      <c r="T68" s="73">
        <f t="shared" si="4"/>
        <v>0.16686296255332517</v>
      </c>
      <c r="U68" s="73">
        <f t="shared" si="4"/>
        <v>0.16227559301040773</v>
      </c>
      <c r="V68" s="73">
        <f t="shared" si="4"/>
        <v>0.15782813621985228</v>
      </c>
      <c r="W68" s="73">
        <f t="shared" si="4"/>
        <v>0.15351595295768422</v>
      </c>
      <c r="X68" s="73">
        <f t="shared" si="4"/>
        <v>3.7858557295252417</v>
      </c>
      <c r="Y68" s="5"/>
      <c r="Z68" s="5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</row>
    <row r="69" spans="1:38" x14ac:dyDescent="0.75">
      <c r="A69" s="72" t="s">
        <v>114</v>
      </c>
      <c r="B69" s="73">
        <f>B68</f>
        <v>43</v>
      </c>
      <c r="C69" s="73">
        <f t="shared" ref="C69:X69" si="5">B69+C68</f>
        <v>43.127693137254902</v>
      </c>
      <c r="D69" s="73">
        <f t="shared" si="5"/>
        <v>43.296971073003924</v>
      </c>
      <c r="E69" s="73">
        <f t="shared" si="5"/>
        <v>43.464655504463266</v>
      </c>
      <c r="F69" s="73">
        <f t="shared" si="5"/>
        <v>43.630740572671776</v>
      </c>
      <c r="G69" s="73">
        <f t="shared" si="5"/>
        <v>43.795220869836818</v>
      </c>
      <c r="H69" s="73">
        <f t="shared" si="5"/>
        <v>44.026689628874301</v>
      </c>
      <c r="I69" s="73">
        <f t="shared" si="5"/>
        <v>44.25326243787206</v>
      </c>
      <c r="J69" s="73">
        <f t="shared" si="5"/>
        <v>44.474526086980227</v>
      </c>
      <c r="K69" s="73">
        <f t="shared" si="5"/>
        <v>44.690580199669391</v>
      </c>
      <c r="L69" s="73">
        <f t="shared" si="5"/>
        <v>44.898381231916147</v>
      </c>
      <c r="M69" s="73">
        <f t="shared" si="5"/>
        <v>45.101248443761094</v>
      </c>
      <c r="N69" s="73">
        <f t="shared" si="5"/>
        <v>45.298855996159283</v>
      </c>
      <c r="O69" s="73">
        <f t="shared" si="5"/>
        <v>45.490929220565619</v>
      </c>
      <c r="P69" s="73">
        <f t="shared" si="5"/>
        <v>45.677639699476245</v>
      </c>
      <c r="Q69" s="73">
        <f t="shared" si="5"/>
        <v>45.859153244280868</v>
      </c>
      <c r="R69" s="73">
        <f t="shared" si="5"/>
        <v>46.035630102576953</v>
      </c>
      <c r="S69" s="73">
        <f t="shared" si="5"/>
        <v>46.20722515761161</v>
      </c>
      <c r="T69" s="73">
        <f t="shared" si="5"/>
        <v>46.374088120164934</v>
      </c>
      <c r="U69" s="73">
        <f t="shared" si="5"/>
        <v>46.536363713175341</v>
      </c>
      <c r="V69" s="73">
        <f t="shared" si="5"/>
        <v>46.694191849395196</v>
      </c>
      <c r="W69" s="73">
        <f t="shared" si="5"/>
        <v>46.847707802352879</v>
      </c>
      <c r="X69" s="73">
        <f t="shared" si="5"/>
        <v>50.633563531878124</v>
      </c>
      <c r="Y69" s="5"/>
      <c r="Z69" s="5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</row>
    <row r="70" spans="1:38" x14ac:dyDescent="0.75">
      <c r="Y70" s="5"/>
      <c r="Z70" s="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3:P96"/>
  <sheetViews>
    <sheetView showGridLines="0" topLeftCell="A9" zoomScaleNormal="100" workbookViewId="0">
      <selection activeCell="H20" sqref="H20"/>
    </sheetView>
  </sheetViews>
  <sheetFormatPr defaultColWidth="8.6796875" defaultRowHeight="14.75" x14ac:dyDescent="0.75"/>
  <cols>
    <col min="2" max="2" width="37.1328125" customWidth="1"/>
    <col min="3" max="3" width="11.1328125" customWidth="1"/>
    <col min="4" max="5" width="12.40625" customWidth="1"/>
    <col min="6" max="6" width="13.54296875" customWidth="1"/>
    <col min="7" max="9" width="12.40625" customWidth="1"/>
    <col min="10" max="10" width="13.1328125" customWidth="1"/>
    <col min="11" max="11" width="12.40625" customWidth="1"/>
    <col min="12" max="12" width="18.40625" customWidth="1"/>
    <col min="13" max="13" width="10.6796875" customWidth="1"/>
    <col min="14" max="14" width="12.40625" customWidth="1"/>
    <col min="15" max="15" width="17.26953125" customWidth="1"/>
  </cols>
  <sheetData>
    <row r="3" spans="2:14" ht="18" customHeight="1" x14ac:dyDescent="0.9">
      <c r="B3" s="2" t="s">
        <v>136</v>
      </c>
      <c r="C3" s="2"/>
      <c r="D3" s="2"/>
      <c r="E3" s="2"/>
    </row>
    <row r="4" spans="2:14" x14ac:dyDescent="0.75">
      <c r="B4" s="6" t="s">
        <v>137</v>
      </c>
      <c r="C4" s="6"/>
      <c r="D4" s="6"/>
      <c r="E4" s="6"/>
    </row>
    <row r="5" spans="2:14" x14ac:dyDescent="0.75">
      <c r="B5" s="21" t="s">
        <v>138</v>
      </c>
      <c r="C5" s="21" t="s">
        <v>4</v>
      </c>
      <c r="D5" s="21" t="s">
        <v>24</v>
      </c>
      <c r="E5" s="21" t="s">
        <v>25</v>
      </c>
    </row>
    <row r="6" spans="2:14" x14ac:dyDescent="0.75">
      <c r="B6" t="s">
        <v>139</v>
      </c>
      <c r="C6" t="str">
        <f>IF(AND(F18&gt;=Assumptions!$B$43, F19&lt;=Assumptions!$B$44, F20&gt;=Assumptions!$B$45, F21&gt;=Assumptions!$B$46),"Yes","No")</f>
        <v>Yes</v>
      </c>
      <c r="D6" t="str">
        <f>IF(AND(F52&gt;=Assumptions!$B$43, F53&lt;=Assumptions!$B$44, F54&gt;=Assumptions!$B$45, F55&gt;=Assumptions!$B$46),"Yes","No")</f>
        <v>Yes</v>
      </c>
      <c r="E6" t="str">
        <f>IF(AND(F86&gt;=Assumptions!$B$43, F87&lt;=Assumptions!$B$44, F88&gt;=Assumptions!$B$45, F89&gt;=Assumptions!$B$46),"Yes","No")</f>
        <v>No</v>
      </c>
    </row>
    <row r="7" spans="2:14" x14ac:dyDescent="0.75">
      <c r="B7" t="s">
        <v>140</v>
      </c>
      <c r="C7" t="str">
        <f>IF(C6="Yes","No",IF(AND(N18="Yes",N19="Yes"),"Yes","No"))</f>
        <v>No</v>
      </c>
      <c r="D7" t="str">
        <f>IF(D6="Yes","No",IF(AND(N54="Yes",N55="Yes"),"Yes","No"))</f>
        <v>No</v>
      </c>
      <c r="E7" t="str">
        <f>IF(E6="Yes","No",IF(AND(N88="Yes",N89="Yes"),"Yes","No"))</f>
        <v>No</v>
      </c>
    </row>
    <row r="8" spans="2:14" x14ac:dyDescent="0.75">
      <c r="B8" t="s">
        <v>141</v>
      </c>
      <c r="C8" t="str">
        <f>IF(Assumptions!$F$39&gt;0,"Yes","No")</f>
        <v>No</v>
      </c>
      <c r="D8" t="str">
        <f>IF(Assumptions!$G$39&gt;0,"Yes","No")</f>
        <v>Yes</v>
      </c>
      <c r="E8" t="str">
        <f>IF(Assumptions!$H$39&gt;0,"Yes","No")</f>
        <v>No</v>
      </c>
    </row>
    <row r="9" spans="2:14" x14ac:dyDescent="0.75">
      <c r="B9" t="s">
        <v>142</v>
      </c>
      <c r="C9" t="str">
        <f>IF(AND(C6="No",C7="No"),"Yes","No")</f>
        <v>No</v>
      </c>
      <c r="D9" t="str">
        <f>IF(AND(D6="No",D7="No"),"Yes","No")</f>
        <v>No</v>
      </c>
      <c r="E9" t="str">
        <f>IF(AND(E6="No",E7="No"),"Yes","No")</f>
        <v>Yes</v>
      </c>
    </row>
    <row r="10" spans="2:14" x14ac:dyDescent="0.75">
      <c r="B10" t="s">
        <v>143</v>
      </c>
      <c r="C10" t="str">
        <f>IF(E34&gt;=Assumptions!$B$49,"Pass","Fail")</f>
        <v>Fail</v>
      </c>
      <c r="D10" t="str">
        <f>IF(E68&gt;=Assumptions!$B$49,"Pass","Fail")</f>
        <v>Pass</v>
      </c>
      <c r="E10" t="str">
        <f>IF(E12="Yes","Fail",IF(E34&gt;=Assumptions!$B$49,"Pass","Fail"))</f>
        <v>Fail</v>
      </c>
    </row>
    <row r="11" spans="2:14" x14ac:dyDescent="0.75">
      <c r="B11" t="s">
        <v>144</v>
      </c>
      <c r="C11" t="str">
        <f>IF(C10="Pass","Yes","No")</f>
        <v>No</v>
      </c>
      <c r="D11" t="str">
        <f>IF(D10="Pass","Yes","No")</f>
        <v>Yes</v>
      </c>
      <c r="E11" t="str">
        <f>IF(E10="Pass","Yes","No")</f>
        <v>No</v>
      </c>
    </row>
    <row r="12" spans="2:14" x14ac:dyDescent="0.75">
      <c r="B12" t="s">
        <v>145</v>
      </c>
      <c r="C12" t="str">
        <f>IF(AND(C$5="Downside",SUM(Rollforward!$C$16:$X$16)/Assumptions!$B$8&gt;Assumptions!$B$51),"Yes","No")</f>
        <v>No</v>
      </c>
      <c r="D12" t="str">
        <f>IF(AND(D$5="Downside",SUM(Rollforward!$C$39:$Z$39)/Assumptions!$B$8&gt;Assumptions!$B$51),"Yes","No")</f>
        <v>No</v>
      </c>
      <c r="E12" t="str">
        <f>IF(AND(E$5="Downside",SUM(Rollforward!$C$63:$X$63)/Assumptions!$B$8&gt;Assumptions!$B$51),"Yes","No")</f>
        <v>Yes</v>
      </c>
    </row>
    <row r="15" spans="2:14" ht="18" customHeight="1" x14ac:dyDescent="0.9">
      <c r="B15" s="1" t="s">
        <v>146</v>
      </c>
      <c r="C15" s="1"/>
      <c r="D15" s="1"/>
      <c r="E15" s="1"/>
      <c r="F15" s="1"/>
      <c r="G15" s="1"/>
      <c r="H15" s="1"/>
    </row>
    <row r="16" spans="2:14" x14ac:dyDescent="0.75">
      <c r="B16" s="6" t="s">
        <v>147</v>
      </c>
      <c r="C16" s="6"/>
      <c r="D16" s="6"/>
      <c r="E16" s="6"/>
      <c r="F16" s="6"/>
      <c r="G16" s="6"/>
      <c r="H16" s="6"/>
      <c r="K16" s="6" t="s">
        <v>148</v>
      </c>
      <c r="L16" s="6"/>
      <c r="M16" s="6"/>
      <c r="N16" s="6"/>
    </row>
    <row r="17" spans="2:14" x14ac:dyDescent="0.75">
      <c r="B17" s="21" t="s">
        <v>149</v>
      </c>
      <c r="C17" s="21"/>
      <c r="D17" s="21"/>
      <c r="E17" s="21"/>
      <c r="F17" s="21" t="s">
        <v>150</v>
      </c>
      <c r="G17" s="21" t="s">
        <v>151</v>
      </c>
      <c r="H17" s="21" t="s">
        <v>152</v>
      </c>
      <c r="K17" s="21" t="s">
        <v>149</v>
      </c>
      <c r="L17" s="21" t="s">
        <v>153</v>
      </c>
      <c r="M17" s="21" t="s">
        <v>151</v>
      </c>
      <c r="N17" s="21" t="s">
        <v>152</v>
      </c>
    </row>
    <row r="18" spans="2:14" x14ac:dyDescent="0.75">
      <c r="B18" t="s">
        <v>154</v>
      </c>
      <c r="F18" s="83">
        <f>+Waterfall!H22</f>
        <v>1</v>
      </c>
      <c r="G18" t="s">
        <v>155</v>
      </c>
      <c r="H18" t="str">
        <f>IF(F18&gt;=Assumptions!$B$43,"Yes","No")</f>
        <v>Yes</v>
      </c>
      <c r="K18" t="s">
        <v>156</v>
      </c>
      <c r="L18" s="84">
        <f>+SUM(Rollforward!$C$16:$J$16)</f>
        <v>4.8112752481345764E-2</v>
      </c>
      <c r="M18" s="84">
        <f>0.18%*Assumptions!$B$8</f>
        <v>0.09</v>
      </c>
      <c r="N18" t="str">
        <f>IF(L18&lt;=M18,"Yes","No")</f>
        <v>Yes</v>
      </c>
    </row>
    <row r="19" spans="2:14" x14ac:dyDescent="0.75">
      <c r="B19" t="s">
        <v>157</v>
      </c>
      <c r="F19" s="85">
        <f>+SUM(Rollforward!$C$13:$H$13)/Assumptions!$B$8</f>
        <v>8.5983130359256806E-3</v>
      </c>
      <c r="G19" t="s">
        <v>158</v>
      </c>
      <c r="H19" t="str">
        <f>IF(F19&lt;=Assumptions!$B$44,"Yes","No")</f>
        <v>Yes</v>
      </c>
      <c r="K19" t="s">
        <v>159</v>
      </c>
      <c r="L19" s="84">
        <f>+Waterfall!$J$22</f>
        <v>1</v>
      </c>
      <c r="M19" s="84">
        <f>+Assumptions!$B$48</f>
        <v>0.9</v>
      </c>
      <c r="N19" t="str">
        <f>IF(L19&gt;=M19,"Yes","No")</f>
        <v>Yes</v>
      </c>
    </row>
    <row r="20" spans="2:14" x14ac:dyDescent="0.75">
      <c r="B20" t="s">
        <v>160</v>
      </c>
      <c r="F20" s="83">
        <f>+SUM(Returns!$F$9:$H$9)</f>
        <v>1.5785931932696435</v>
      </c>
      <c r="G20" t="s">
        <v>161</v>
      </c>
      <c r="H20" t="str">
        <f>IF(F20&gt;=Assumptions!$B$45,"Yes","No")</f>
        <v>Yes</v>
      </c>
    </row>
    <row r="21" spans="2:14" x14ac:dyDescent="0.75">
      <c r="B21" t="s">
        <v>162</v>
      </c>
      <c r="F21" s="86">
        <f>+Assumptions!$F$29*'Monthly Data'!$G$7</f>
        <v>2.1945000000000001</v>
      </c>
      <c r="G21" t="s">
        <v>163</v>
      </c>
      <c r="H21" t="str">
        <f>IF(F21&gt;=Assumptions!$B$46,"Yes","No")</f>
        <v>Yes</v>
      </c>
      <c r="K21" s="87" t="s">
        <v>164</v>
      </c>
    </row>
    <row r="23" spans="2:14" x14ac:dyDescent="0.75">
      <c r="B23" s="87" t="s">
        <v>165</v>
      </c>
    </row>
    <row r="27" spans="2:14" x14ac:dyDescent="0.75">
      <c r="B27" s="6" t="s">
        <v>166</v>
      </c>
      <c r="C27" s="6"/>
      <c r="D27" s="6"/>
      <c r="E27" s="6"/>
      <c r="F27" s="6"/>
    </row>
    <row r="28" spans="2:14" x14ac:dyDescent="0.75">
      <c r="B28" s="21" t="s">
        <v>167</v>
      </c>
      <c r="C28" s="21"/>
      <c r="D28" s="21"/>
      <c r="E28" s="21" t="s">
        <v>153</v>
      </c>
      <c r="F28" s="21" t="s">
        <v>151</v>
      </c>
    </row>
    <row r="29" spans="2:14" x14ac:dyDescent="0.75">
      <c r="B29" t="s">
        <v>168</v>
      </c>
      <c r="E29" s="83">
        <f>+Rollforward!$N$21</f>
        <v>57.20685146862575</v>
      </c>
    </row>
    <row r="30" spans="2:14" x14ac:dyDescent="0.75">
      <c r="B30" t="s">
        <v>169</v>
      </c>
      <c r="E30" s="83">
        <f>+Waterfall!$N$22</f>
        <v>1</v>
      </c>
    </row>
    <row r="31" spans="2:14" x14ac:dyDescent="0.75">
      <c r="B31" t="s">
        <v>170</v>
      </c>
      <c r="E31" s="85">
        <f>+Assumptions!$F$36</f>
        <v>0.98499999999999999</v>
      </c>
    </row>
    <row r="32" spans="2:14" x14ac:dyDescent="0.75">
      <c r="B32" t="s">
        <v>171</v>
      </c>
      <c r="E32" s="84">
        <f>+E29*E31+E30</f>
        <v>57.34874869659636</v>
      </c>
    </row>
    <row r="33" spans="2:16" x14ac:dyDescent="0.75">
      <c r="B33" t="s">
        <v>172</v>
      </c>
      <c r="E33" s="84">
        <f>+E32*Assumptions!$B$16</f>
        <v>50.601837085232077</v>
      </c>
    </row>
    <row r="34" spans="2:16" x14ac:dyDescent="0.75">
      <c r="B34" s="87" t="s">
        <v>173</v>
      </c>
      <c r="C34" s="87"/>
      <c r="D34" s="87"/>
      <c r="E34" s="88">
        <f>IFERROR((1+IRR(C45:O45))^12-1,0)</f>
        <v>7.8607832233557495E-2</v>
      </c>
      <c r="F34" s="87" t="s">
        <v>174</v>
      </c>
      <c r="G34" s="87" t="s">
        <v>175</v>
      </c>
    </row>
    <row r="37" spans="2:16" x14ac:dyDescent="0.75">
      <c r="B37" s="87" t="s">
        <v>176</v>
      </c>
      <c r="C37" s="87"/>
    </row>
    <row r="38" spans="2:16" x14ac:dyDescent="0.75">
      <c r="C38" s="87">
        <v>0</v>
      </c>
      <c r="D38" s="87">
        <v>1</v>
      </c>
      <c r="E38" s="87">
        <v>2</v>
      </c>
      <c r="F38" s="87">
        <v>3</v>
      </c>
      <c r="G38" s="87">
        <v>4</v>
      </c>
      <c r="H38" s="87">
        <v>5</v>
      </c>
      <c r="I38" s="87">
        <v>6</v>
      </c>
      <c r="J38" s="87">
        <v>7</v>
      </c>
      <c r="K38" s="87">
        <v>8</v>
      </c>
      <c r="L38" s="87">
        <v>9</v>
      </c>
      <c r="M38" s="87">
        <v>10</v>
      </c>
      <c r="N38" s="87">
        <v>11</v>
      </c>
      <c r="O38" s="87">
        <v>12</v>
      </c>
    </row>
    <row r="39" spans="2:16" x14ac:dyDescent="0.75">
      <c r="C39" s="87" t="s">
        <v>74</v>
      </c>
      <c r="D39" s="89">
        <v>46053</v>
      </c>
      <c r="E39" s="89">
        <v>46081</v>
      </c>
      <c r="F39" s="89">
        <v>46112</v>
      </c>
      <c r="G39" s="89">
        <v>46142</v>
      </c>
      <c r="H39" s="89">
        <v>46173</v>
      </c>
      <c r="I39" s="89">
        <v>46203</v>
      </c>
      <c r="J39" s="89">
        <v>46234</v>
      </c>
      <c r="K39" s="89">
        <v>46265</v>
      </c>
      <c r="L39" s="89">
        <v>46295</v>
      </c>
      <c r="M39" s="89">
        <v>46326</v>
      </c>
      <c r="N39" s="89">
        <v>46356</v>
      </c>
      <c r="O39" s="89">
        <v>46387</v>
      </c>
      <c r="P39" s="87"/>
    </row>
    <row r="40" spans="2:16" x14ac:dyDescent="0.75">
      <c r="B40" s="87" t="s">
        <v>110</v>
      </c>
    </row>
    <row r="41" spans="2:16" x14ac:dyDescent="0.75">
      <c r="B41" s="87" t="s">
        <v>111</v>
      </c>
      <c r="C41" s="79">
        <f>+Returns!B$7</f>
        <v>-45</v>
      </c>
      <c r="D41" s="90">
        <f>+Returns!C$7</f>
        <v>0</v>
      </c>
      <c r="E41" s="90">
        <f>+Returns!D$7</f>
        <v>0</v>
      </c>
      <c r="F41" s="90">
        <f>+Returns!E$7</f>
        <v>0</v>
      </c>
      <c r="G41" s="90">
        <f>+Returns!F$7</f>
        <v>0</v>
      </c>
      <c r="H41" s="90">
        <f>+Returns!G$7</f>
        <v>0</v>
      </c>
      <c r="I41" s="90">
        <f>+Returns!H$7</f>
        <v>0</v>
      </c>
      <c r="J41" s="90">
        <f>+Returns!I$7</f>
        <v>-8.8235294117647065</v>
      </c>
      <c r="K41" s="90">
        <f>+Returns!J$7</f>
        <v>0</v>
      </c>
      <c r="L41" s="90">
        <f>+Returns!K$7</f>
        <v>0</v>
      </c>
      <c r="M41" s="90">
        <f>+Returns!L$7</f>
        <v>0</v>
      </c>
      <c r="N41" s="90">
        <f>+Returns!M$7</f>
        <v>0</v>
      </c>
      <c r="O41" s="90">
        <f>+Returns!N$7</f>
        <v>0</v>
      </c>
    </row>
    <row r="42" spans="2:16" x14ac:dyDescent="0.75">
      <c r="B42" s="87" t="s">
        <v>112</v>
      </c>
      <c r="C42" s="79">
        <f>+Returns!B$8</f>
        <v>0</v>
      </c>
      <c r="D42" s="90">
        <f>+Returns!C$8</f>
        <v>0.53253529411764722</v>
      </c>
      <c r="E42" s="90">
        <f>+Returns!D$8</f>
        <v>0.53096852741647083</v>
      </c>
      <c r="F42" s="90">
        <f>+Returns!E$8</f>
        <v>0.5293905302453964</v>
      </c>
      <c r="G42" s="90">
        <f>+Returns!F$8</f>
        <v>0.52780142840349553</v>
      </c>
      <c r="H42" s="90">
        <f>+Returns!G$8</f>
        <v>0.52620134823800302</v>
      </c>
      <c r="I42" s="90">
        <f>+Returns!H$8</f>
        <v>0.52459041662814498</v>
      </c>
      <c r="J42" s="90">
        <f>+Returns!I$8</f>
        <v>0.52138746012576032</v>
      </c>
      <c r="K42" s="90">
        <f>+Returns!J$8</f>
        <v>0.62968951622209979</v>
      </c>
      <c r="L42" s="90">
        <f>+Returns!K$8</f>
        <v>0.62588142726109963</v>
      </c>
      <c r="M42" s="90">
        <f>+Returns!L$8</f>
        <v>0.62305247603627156</v>
      </c>
      <c r="N42" s="90">
        <f>+Returns!M$8</f>
        <v>0.62023596088102784</v>
      </c>
      <c r="O42" s="90">
        <f>+Returns!N$8</f>
        <v>0.61836472282347554</v>
      </c>
    </row>
    <row r="43" spans="2:16" x14ac:dyDescent="0.75">
      <c r="B43" s="87" t="s">
        <v>177</v>
      </c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>
        <f>+E33</f>
        <v>50.601837085232077</v>
      </c>
    </row>
    <row r="44" spans="2:16" x14ac:dyDescent="0.75"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</row>
    <row r="45" spans="2:16" x14ac:dyDescent="0.75">
      <c r="B45" s="87" t="s">
        <v>113</v>
      </c>
      <c r="C45" s="90">
        <f t="shared" ref="C45:N45" si="0">+C41+C42</f>
        <v>-45</v>
      </c>
      <c r="D45" s="90">
        <f t="shared" si="0"/>
        <v>0.53253529411764722</v>
      </c>
      <c r="E45" s="90">
        <f t="shared" si="0"/>
        <v>0.53096852741647083</v>
      </c>
      <c r="F45" s="90">
        <f t="shared" si="0"/>
        <v>0.5293905302453964</v>
      </c>
      <c r="G45" s="90">
        <f t="shared" si="0"/>
        <v>0.52780142840349553</v>
      </c>
      <c r="H45" s="90">
        <f t="shared" si="0"/>
        <v>0.52620134823800302</v>
      </c>
      <c r="I45" s="90">
        <f t="shared" si="0"/>
        <v>0.52459041662814498</v>
      </c>
      <c r="J45" s="90">
        <f t="shared" si="0"/>
        <v>-8.3021419516389461</v>
      </c>
      <c r="K45" s="90">
        <f t="shared" si="0"/>
        <v>0.62968951622209979</v>
      </c>
      <c r="L45" s="90">
        <f t="shared" si="0"/>
        <v>0.62588142726109963</v>
      </c>
      <c r="M45" s="90">
        <f t="shared" si="0"/>
        <v>0.62305247603627156</v>
      </c>
      <c r="N45" s="90">
        <f t="shared" si="0"/>
        <v>0.62023596088102784</v>
      </c>
      <c r="O45" s="90">
        <f>+O42+O43</f>
        <v>51.220201808055556</v>
      </c>
    </row>
    <row r="49" spans="2:14" ht="18" customHeight="1" x14ac:dyDescent="0.9">
      <c r="B49" s="1" t="s">
        <v>89</v>
      </c>
      <c r="C49" s="1"/>
      <c r="D49" s="1"/>
      <c r="E49" s="1"/>
      <c r="F49" s="1"/>
      <c r="G49" s="1"/>
      <c r="H49" s="1"/>
    </row>
    <row r="50" spans="2:14" x14ac:dyDescent="0.75">
      <c r="B50" s="6" t="s">
        <v>147</v>
      </c>
      <c r="C50" s="6"/>
      <c r="D50" s="6"/>
      <c r="E50" s="6"/>
      <c r="F50" s="6"/>
      <c r="G50" s="6"/>
      <c r="H50" s="6"/>
    </row>
    <row r="51" spans="2:14" x14ac:dyDescent="0.75">
      <c r="B51" s="21" t="s">
        <v>149</v>
      </c>
      <c r="C51" s="21"/>
      <c r="D51" s="21"/>
      <c r="E51" s="21"/>
      <c r="F51" s="21" t="s">
        <v>150</v>
      </c>
      <c r="G51" s="21" t="s">
        <v>151</v>
      </c>
      <c r="H51" s="21" t="s">
        <v>152</v>
      </c>
    </row>
    <row r="52" spans="2:14" x14ac:dyDescent="0.75">
      <c r="B52" t="s">
        <v>154</v>
      </c>
      <c r="F52" s="83">
        <f>+Waterfall!$H$47</f>
        <v>1</v>
      </c>
      <c r="G52" t="s">
        <v>155</v>
      </c>
      <c r="H52" t="str">
        <f>IF(F52&gt;=Assumptions!$B$43,"Yes","No")</f>
        <v>Yes</v>
      </c>
      <c r="K52" s="6" t="s">
        <v>148</v>
      </c>
      <c r="L52" s="6"/>
      <c r="M52" s="6"/>
      <c r="N52" s="6"/>
    </row>
    <row r="53" spans="2:14" x14ac:dyDescent="0.75">
      <c r="B53" t="s">
        <v>157</v>
      </c>
      <c r="F53" s="85">
        <f>+SUM(Rollforward!$C$36:$H$36)/Assumptions!$B$8</f>
        <v>5.3992722522266954E-3</v>
      </c>
      <c r="G53" t="s">
        <v>158</v>
      </c>
      <c r="H53" t="str">
        <f>IF(F53&lt;=Assumptions!$B$44,"Yes","No")</f>
        <v>Yes</v>
      </c>
      <c r="K53" s="21" t="s">
        <v>149</v>
      </c>
      <c r="L53" s="21" t="s">
        <v>153</v>
      </c>
      <c r="M53" s="21" t="s">
        <v>151</v>
      </c>
      <c r="N53" s="21" t="s">
        <v>152</v>
      </c>
    </row>
    <row r="54" spans="2:14" x14ac:dyDescent="0.75">
      <c r="B54" t="s">
        <v>160</v>
      </c>
      <c r="F54" s="83">
        <f>+SUM(Returns!$F$33:$H$33)</f>
        <v>1.1818790392483822</v>
      </c>
      <c r="G54" t="s">
        <v>161</v>
      </c>
      <c r="H54" t="str">
        <f>IF(F54&gt;=Assumptions!$B$45,"Yes","No")</f>
        <v>Yes</v>
      </c>
      <c r="K54" t="s">
        <v>156</v>
      </c>
      <c r="L54" s="84">
        <f>+SUM(Rollforward!$C$39:$J$39)</f>
        <v>2.2135921639703217E-2</v>
      </c>
      <c r="M54" s="84">
        <f>Assumptions!$B$47*Assumptions!$B$8</f>
        <v>0.09</v>
      </c>
      <c r="N54" t="str">
        <f>IF(L54&lt;=M54,"Yes","No")</f>
        <v>Yes</v>
      </c>
    </row>
    <row r="55" spans="2:14" x14ac:dyDescent="0.75">
      <c r="B55" t="s">
        <v>162</v>
      </c>
      <c r="F55" s="86">
        <f>+Assumptions!$G$29*'Monthly Data'!$AD$7</f>
        <v>2.3980000000000006</v>
      </c>
      <c r="G55" t="s">
        <v>163</v>
      </c>
      <c r="H55" t="str">
        <f>IF(F55&gt;=Assumptions!$B$46,"Yes","No")</f>
        <v>Yes</v>
      </c>
      <c r="K55" t="s">
        <v>159</v>
      </c>
      <c r="L55" s="84">
        <f>+Waterfall!$J$22</f>
        <v>1</v>
      </c>
      <c r="M55" s="84">
        <f>+Assumptions!$B$48</f>
        <v>0.9</v>
      </c>
      <c r="N55" t="str">
        <f>IF(L55&gt;=M55,"Yes","No")</f>
        <v>Yes</v>
      </c>
    </row>
    <row r="57" spans="2:14" x14ac:dyDescent="0.75">
      <c r="B57" s="87" t="s">
        <v>165</v>
      </c>
      <c r="K57" s="87" t="s">
        <v>164</v>
      </c>
    </row>
    <row r="61" spans="2:14" x14ac:dyDescent="0.75">
      <c r="B61" s="6" t="s">
        <v>166</v>
      </c>
      <c r="C61" s="6"/>
      <c r="D61" s="6"/>
      <c r="E61" s="6"/>
      <c r="F61" s="6"/>
      <c r="K61" s="6" t="s">
        <v>178</v>
      </c>
      <c r="L61" s="6"/>
      <c r="M61" s="6"/>
      <c r="N61" s="6"/>
    </row>
    <row r="62" spans="2:14" x14ac:dyDescent="0.75">
      <c r="B62" s="21" t="s">
        <v>167</v>
      </c>
      <c r="C62" s="21"/>
      <c r="D62" s="21"/>
      <c r="E62" s="21" t="s">
        <v>153</v>
      </c>
      <c r="F62" s="21" t="s">
        <v>151</v>
      </c>
      <c r="K62" s="21" t="s">
        <v>149</v>
      </c>
      <c r="L62" s="21"/>
      <c r="M62" s="21" t="s">
        <v>153</v>
      </c>
      <c r="N62" s="21" t="s">
        <v>152</v>
      </c>
    </row>
    <row r="63" spans="2:14" x14ac:dyDescent="0.75">
      <c r="B63" t="s">
        <v>168</v>
      </c>
      <c r="E63" s="83">
        <f>Rollforward!$N$44</f>
        <v>59.965989342198633</v>
      </c>
      <c r="K63" t="s">
        <v>179</v>
      </c>
      <c r="M63" s="5" t="str">
        <f>IF(D6="Yes","yes","no")</f>
        <v>yes</v>
      </c>
      <c r="N63" t="str">
        <f>IF(M63="yes","Yes","No")</f>
        <v>Yes</v>
      </c>
    </row>
    <row r="64" spans="2:14" x14ac:dyDescent="0.75">
      <c r="B64" t="s">
        <v>169</v>
      </c>
      <c r="E64" s="83">
        <f>+Waterfall!$N$47</f>
        <v>1</v>
      </c>
      <c r="K64" t="s">
        <v>180</v>
      </c>
      <c r="M64" s="91">
        <f>+E68</f>
        <v>9.8703586628570594E-2</v>
      </c>
      <c r="N64" t="str">
        <f>IF(M64&gt;=Assumptions!$B$49,"Yes","No")</f>
        <v>Yes</v>
      </c>
    </row>
    <row r="65" spans="2:15" x14ac:dyDescent="0.75">
      <c r="B65" t="s">
        <v>170</v>
      </c>
      <c r="E65" s="85">
        <f>+Assumptions!$G$36</f>
        <v>0.99</v>
      </c>
      <c r="K65" t="s">
        <v>181</v>
      </c>
      <c r="M65" s="92">
        <f>+Assumptions!$G$29*'Monthly Data'!$AJ$7</f>
        <v>2.4640000000000004</v>
      </c>
      <c r="N65" t="str">
        <f>IF(M65&gt;=Assumptions!$B$50,"Yes","No")</f>
        <v>Yes</v>
      </c>
    </row>
    <row r="66" spans="2:15" x14ac:dyDescent="0.75">
      <c r="B66" t="s">
        <v>171</v>
      </c>
      <c r="E66" s="84">
        <f>+E63*E65+E64</f>
        <v>60.366329448776646</v>
      </c>
      <c r="K66" s="87" t="s">
        <v>182</v>
      </c>
    </row>
    <row r="67" spans="2:15" x14ac:dyDescent="0.75">
      <c r="B67" t="s">
        <v>172</v>
      </c>
      <c r="E67" s="84">
        <f>+E66*Assumptions!$B$16</f>
        <v>53.264408337155864</v>
      </c>
    </row>
    <row r="68" spans="2:15" x14ac:dyDescent="0.75">
      <c r="B68" t="s">
        <v>173</v>
      </c>
      <c r="E68" s="88">
        <f>IFERROR((1+IRR(C80:O80))^12-1,0)</f>
        <v>9.8703586628570594E-2</v>
      </c>
      <c r="F68" s="87" t="s">
        <v>174</v>
      </c>
    </row>
    <row r="69" spans="2:15" x14ac:dyDescent="0.75">
      <c r="B69" s="87" t="s">
        <v>183</v>
      </c>
    </row>
    <row r="70" spans="2:15" x14ac:dyDescent="0.75">
      <c r="B70" s="87"/>
    </row>
    <row r="72" spans="2:15" x14ac:dyDescent="0.75">
      <c r="B72" s="87" t="s">
        <v>109</v>
      </c>
      <c r="C72" s="87"/>
    </row>
    <row r="73" spans="2:15" x14ac:dyDescent="0.75">
      <c r="C73" s="87">
        <v>0</v>
      </c>
      <c r="D73" s="87">
        <v>1</v>
      </c>
      <c r="E73" s="87">
        <v>2</v>
      </c>
      <c r="F73" s="87">
        <v>3</v>
      </c>
      <c r="G73" s="87">
        <v>4</v>
      </c>
      <c r="H73" s="87">
        <v>5</v>
      </c>
      <c r="I73" s="87">
        <v>6</v>
      </c>
      <c r="J73" s="87">
        <v>7</v>
      </c>
      <c r="K73" s="87">
        <v>8</v>
      </c>
      <c r="L73" s="87">
        <v>9</v>
      </c>
      <c r="M73" s="87">
        <v>10</v>
      </c>
      <c r="N73" s="87">
        <v>11</v>
      </c>
      <c r="O73" s="87">
        <v>12</v>
      </c>
    </row>
    <row r="74" spans="2:15" x14ac:dyDescent="0.75">
      <c r="C74" s="87" t="s">
        <v>74</v>
      </c>
      <c r="D74" s="89">
        <v>46053</v>
      </c>
      <c r="E74" s="89">
        <v>46081</v>
      </c>
      <c r="F74" s="89">
        <v>46112</v>
      </c>
      <c r="G74" s="89">
        <v>46142</v>
      </c>
      <c r="H74" s="89">
        <v>46173</v>
      </c>
      <c r="I74" s="89">
        <v>46203</v>
      </c>
      <c r="J74" s="89">
        <v>46234</v>
      </c>
      <c r="K74" s="89">
        <v>46265</v>
      </c>
      <c r="L74" s="89">
        <v>46295</v>
      </c>
      <c r="M74" s="89">
        <v>46326</v>
      </c>
      <c r="N74" s="89">
        <v>46356</v>
      </c>
      <c r="O74" s="89">
        <v>46387</v>
      </c>
    </row>
    <row r="75" spans="2:15" x14ac:dyDescent="0.75">
      <c r="B75" s="87" t="s">
        <v>110</v>
      </c>
    </row>
    <row r="76" spans="2:15" x14ac:dyDescent="0.75">
      <c r="B76" s="87" t="s">
        <v>111</v>
      </c>
      <c r="C76" s="79">
        <f>+Returns!B$31</f>
        <v>-45</v>
      </c>
      <c r="D76" s="90">
        <f>+Returns!C$31</f>
        <v>0</v>
      </c>
      <c r="E76" s="90">
        <f>+Returns!D$31</f>
        <v>0</v>
      </c>
      <c r="F76" s="90">
        <f>+Returns!E$31</f>
        <v>0</v>
      </c>
      <c r="G76" s="90">
        <f>+Returns!F$31</f>
        <v>0</v>
      </c>
      <c r="H76" s="90">
        <f>+Returns!G$31</f>
        <v>0</v>
      </c>
      <c r="I76" s="90">
        <f>+Returns!H$31</f>
        <v>0</v>
      </c>
      <c r="J76" s="90">
        <f>+Returns!I$31</f>
        <v>-8.8235294117647065</v>
      </c>
      <c r="K76" s="90">
        <f>+Returns!J$31</f>
        <v>0</v>
      </c>
      <c r="L76" s="90">
        <f>+Returns!K$31</f>
        <v>0</v>
      </c>
      <c r="M76" s="90">
        <f>+Returns!L$31</f>
        <v>0</v>
      </c>
      <c r="N76" s="90">
        <f>+Returns!M$31</f>
        <v>0</v>
      </c>
      <c r="O76" s="90">
        <f>+Returns!N$31</f>
        <v>0</v>
      </c>
    </row>
    <row r="77" spans="2:15" x14ac:dyDescent="0.75">
      <c r="B77" s="87" t="s">
        <v>112</v>
      </c>
      <c r="D77" s="90">
        <f>+Returns!C$32</f>
        <v>0.39404411764705921</v>
      </c>
      <c r="E77" s="90">
        <f>+Returns!D$32</f>
        <v>0.39402444117647062</v>
      </c>
      <c r="F77" s="90">
        <f>+Returns!E$32</f>
        <v>0.39400476565035308</v>
      </c>
      <c r="G77" s="90">
        <f>+Returns!F$32</f>
        <v>0.39398263174594905</v>
      </c>
      <c r="H77" s="90">
        <f>+Returns!G$32</f>
        <v>0.39396049903677582</v>
      </c>
      <c r="I77" s="90">
        <f>+Returns!H$32</f>
        <v>0.3939359084656574</v>
      </c>
      <c r="J77" s="90">
        <f>+Returns!I$32</f>
        <v>0.39391131936997292</v>
      </c>
      <c r="K77" s="90">
        <f>+Returns!J$32</f>
        <v>0.47587448462931525</v>
      </c>
      <c r="L77" s="90">
        <f>+Returns!K$32</f>
        <v>0.47584792976008627</v>
      </c>
      <c r="M77" s="90">
        <f>+Returns!L$32</f>
        <v>0.47582137632482036</v>
      </c>
      <c r="N77" s="90">
        <f>+Returns!M$32</f>
        <v>0.47579777454581568</v>
      </c>
      <c r="O77" s="90">
        <f>+Returns!N$32</f>
        <v>0.47577417389969634</v>
      </c>
    </row>
    <row r="78" spans="2:15" x14ac:dyDescent="0.75">
      <c r="B78" s="87" t="s">
        <v>184</v>
      </c>
      <c r="O78" s="79">
        <f>+$E$67</f>
        <v>53.264408337155864</v>
      </c>
    </row>
    <row r="79" spans="2:15" x14ac:dyDescent="0.75">
      <c r="B79" s="87"/>
      <c r="O79" s="79"/>
    </row>
    <row r="80" spans="2:15" x14ac:dyDescent="0.75">
      <c r="B80" s="87" t="s">
        <v>113</v>
      </c>
      <c r="C80" s="90">
        <f t="shared" ref="C80:N80" si="1">+C76+C77</f>
        <v>-45</v>
      </c>
      <c r="D80" s="90">
        <f t="shared" si="1"/>
        <v>0.39404411764705921</v>
      </c>
      <c r="E80" s="90">
        <f t="shared" si="1"/>
        <v>0.39402444117647062</v>
      </c>
      <c r="F80" s="90">
        <f t="shared" si="1"/>
        <v>0.39400476565035308</v>
      </c>
      <c r="G80" s="90">
        <f t="shared" si="1"/>
        <v>0.39398263174594905</v>
      </c>
      <c r="H80" s="90">
        <f t="shared" si="1"/>
        <v>0.39396049903677582</v>
      </c>
      <c r="I80" s="90">
        <f t="shared" si="1"/>
        <v>0.3939359084656574</v>
      </c>
      <c r="J80" s="90">
        <f t="shared" si="1"/>
        <v>-8.4296180923947333</v>
      </c>
      <c r="K80" s="90">
        <f t="shared" si="1"/>
        <v>0.47587448462931525</v>
      </c>
      <c r="L80" s="90">
        <f t="shared" si="1"/>
        <v>0.47584792976008627</v>
      </c>
      <c r="M80" s="90">
        <f t="shared" si="1"/>
        <v>0.47582137632482036</v>
      </c>
      <c r="N80" s="90">
        <f t="shared" si="1"/>
        <v>0.47579777454581568</v>
      </c>
      <c r="O80" s="90">
        <f>+O76+O77+O78</f>
        <v>53.740182511055558</v>
      </c>
    </row>
    <row r="83" spans="2:14" ht="18" customHeight="1" x14ac:dyDescent="0.9">
      <c r="B83" s="1" t="s">
        <v>90</v>
      </c>
      <c r="C83" s="1"/>
      <c r="D83" s="1"/>
      <c r="E83" s="1"/>
      <c r="F83" s="1"/>
      <c r="G83" s="1"/>
      <c r="H83" s="1"/>
    </row>
    <row r="84" spans="2:14" x14ac:dyDescent="0.75">
      <c r="B84" s="6" t="s">
        <v>147</v>
      </c>
      <c r="C84" s="6"/>
      <c r="D84" s="6"/>
      <c r="E84" s="6"/>
      <c r="F84" s="6"/>
      <c r="G84" s="6"/>
      <c r="H84" s="6"/>
    </row>
    <row r="85" spans="2:14" x14ac:dyDescent="0.75">
      <c r="B85" s="21" t="s">
        <v>149</v>
      </c>
      <c r="C85" s="21"/>
      <c r="D85" s="21"/>
      <c r="E85" s="21"/>
      <c r="F85" s="21" t="s">
        <v>150</v>
      </c>
      <c r="G85" s="21" t="s">
        <v>151</v>
      </c>
      <c r="H85" s="21" t="s">
        <v>152</v>
      </c>
    </row>
    <row r="86" spans="2:14" x14ac:dyDescent="0.75">
      <c r="B86" t="s">
        <v>154</v>
      </c>
      <c r="F86" s="83">
        <f>+Waterfall!$H$47</f>
        <v>1</v>
      </c>
      <c r="G86" t="s">
        <v>155</v>
      </c>
      <c r="H86" t="str">
        <f>IF(F86&gt;=Assumptions!$B$43,"Yes","No")</f>
        <v>Yes</v>
      </c>
      <c r="K86" s="6" t="s">
        <v>148</v>
      </c>
      <c r="L86" s="6"/>
      <c r="M86" s="6"/>
      <c r="N86" s="6"/>
    </row>
    <row r="87" spans="2:14" x14ac:dyDescent="0.75">
      <c r="B87" t="s">
        <v>157</v>
      </c>
      <c r="F87" s="85">
        <f t="array" ref="F87">+SUM(Rollforward!$C$60:$H$60/Assumptions!$B$8)</f>
        <v>1.4595475930902223E-2</v>
      </c>
      <c r="G87" t="s">
        <v>158</v>
      </c>
      <c r="H87" t="str">
        <f>IF(F87&lt;=Assumptions!$B$44,"Yes","No")</f>
        <v>No</v>
      </c>
      <c r="K87" s="21" t="s">
        <v>149</v>
      </c>
      <c r="L87" s="21" t="s">
        <v>153</v>
      </c>
      <c r="M87" s="21" t="s">
        <v>151</v>
      </c>
      <c r="N87" s="21" t="s">
        <v>152</v>
      </c>
    </row>
    <row r="88" spans="2:14" x14ac:dyDescent="0.75">
      <c r="B88" t="s">
        <v>160</v>
      </c>
      <c r="F88" s="83">
        <f>+SUM(Returns!$F$59:$H$59)</f>
        <v>3.0019920732275986</v>
      </c>
      <c r="G88" t="s">
        <v>161</v>
      </c>
      <c r="H88" t="str">
        <f>IF(F88&gt;=Assumptions!$B$45,"Yes","No")</f>
        <v>Yes</v>
      </c>
      <c r="K88" t="s">
        <v>156</v>
      </c>
      <c r="L88" s="84">
        <f>+SUM(Rollforward!$C$63:$J$63)</f>
        <v>0.12310553521860325</v>
      </c>
      <c r="M88" s="84">
        <f>Assumptions!$B$47*Assumptions!$B$8</f>
        <v>0.09</v>
      </c>
      <c r="N88" t="str">
        <f>IF(L88&lt;=M88,"Yes","No")</f>
        <v>No</v>
      </c>
    </row>
    <row r="89" spans="2:14" x14ac:dyDescent="0.75">
      <c r="B89" t="s">
        <v>162</v>
      </c>
      <c r="F89" s="86">
        <f>+Assumptions!$H$29*'Monthly Data'!$BB$7</f>
        <v>1.83</v>
      </c>
      <c r="G89" t="s">
        <v>163</v>
      </c>
      <c r="H89" t="str">
        <f>IF(F89&gt;=Assumptions!$B$46,"Yes","No")</f>
        <v>No</v>
      </c>
      <c r="K89" t="s">
        <v>159</v>
      </c>
      <c r="L89" s="84">
        <f>+Waterfall!$J$72</f>
        <v>1</v>
      </c>
      <c r="M89" s="84">
        <f>+Assumptions!$B$48</f>
        <v>0.9</v>
      </c>
      <c r="N89" t="str">
        <f>IF(L89&gt;=M89,"Yes","No")</f>
        <v>Yes</v>
      </c>
    </row>
    <row r="91" spans="2:14" x14ac:dyDescent="0.75">
      <c r="B91" s="87" t="s">
        <v>185</v>
      </c>
      <c r="K91" s="87" t="s">
        <v>186</v>
      </c>
    </row>
    <row r="92" spans="2:14" x14ac:dyDescent="0.75">
      <c r="K92" s="87" t="s">
        <v>187</v>
      </c>
    </row>
    <row r="96" spans="2:14" x14ac:dyDescent="0.75">
      <c r="L96" s="93"/>
    </row>
  </sheetData>
  <mergeCells count="4">
    <mergeCell ref="B3:E3"/>
    <mergeCell ref="B15:H15"/>
    <mergeCell ref="B49:H49"/>
    <mergeCell ref="B83:H8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BT8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1" sqref="I31"/>
    </sheetView>
  </sheetViews>
  <sheetFormatPr defaultColWidth="8.6796875" defaultRowHeight="14.75" x14ac:dyDescent="0.75"/>
  <cols>
    <col min="1" max="1" width="24.1328125" customWidth="1"/>
    <col min="2" max="28" width="6.86328125" customWidth="1"/>
    <col min="29" max="30" width="6.54296875" customWidth="1"/>
    <col min="31" max="48" width="6.86328125" customWidth="1"/>
    <col min="49" max="72" width="9.1328125" customWidth="1"/>
  </cols>
  <sheetData>
    <row r="1" spans="1:72" x14ac:dyDescent="0.75">
      <c r="A1" s="94" t="s">
        <v>188</v>
      </c>
      <c r="B1" s="94" t="s">
        <v>4</v>
      </c>
      <c r="C1" s="94" t="s">
        <v>4</v>
      </c>
      <c r="D1" s="94" t="s">
        <v>4</v>
      </c>
      <c r="E1" s="94" t="s">
        <v>4</v>
      </c>
      <c r="F1" s="94" t="s">
        <v>4</v>
      </c>
      <c r="G1" s="94" t="s">
        <v>4</v>
      </c>
      <c r="H1" s="94" t="s">
        <v>4</v>
      </c>
      <c r="I1" s="94" t="s">
        <v>4</v>
      </c>
      <c r="J1" s="94" t="s">
        <v>4</v>
      </c>
      <c r="K1" s="94" t="s">
        <v>4</v>
      </c>
      <c r="L1" s="94" t="s">
        <v>4</v>
      </c>
      <c r="M1" s="94" t="s">
        <v>4</v>
      </c>
      <c r="N1" s="94" t="s">
        <v>4</v>
      </c>
      <c r="O1" s="94" t="s">
        <v>4</v>
      </c>
      <c r="P1" s="94" t="s">
        <v>4</v>
      </c>
      <c r="Q1" s="94" t="s">
        <v>4</v>
      </c>
      <c r="R1" s="94" t="s">
        <v>4</v>
      </c>
      <c r="S1" s="94" t="s">
        <v>4</v>
      </c>
      <c r="T1" s="94" t="s">
        <v>4</v>
      </c>
      <c r="U1" s="94" t="s">
        <v>4</v>
      </c>
      <c r="V1" s="94" t="s">
        <v>4</v>
      </c>
      <c r="W1" s="94" t="s">
        <v>4</v>
      </c>
      <c r="X1" s="94" t="s">
        <v>4</v>
      </c>
      <c r="Y1" s="94" t="s">
        <v>24</v>
      </c>
      <c r="Z1" s="94" t="s">
        <v>24</v>
      </c>
      <c r="AA1" s="94" t="s">
        <v>24</v>
      </c>
      <c r="AB1" s="94" t="s">
        <v>24</v>
      </c>
      <c r="AC1" s="94" t="s">
        <v>24</v>
      </c>
      <c r="AD1" s="94" t="s">
        <v>24</v>
      </c>
      <c r="AE1" s="94" t="s">
        <v>24</v>
      </c>
      <c r="AF1" s="94" t="s">
        <v>24</v>
      </c>
      <c r="AG1" s="94" t="s">
        <v>24</v>
      </c>
      <c r="AH1" s="94" t="s">
        <v>24</v>
      </c>
      <c r="AI1" s="94" t="s">
        <v>24</v>
      </c>
      <c r="AJ1" s="94" t="s">
        <v>24</v>
      </c>
      <c r="AK1" s="94" t="s">
        <v>24</v>
      </c>
      <c r="AL1" s="94" t="s">
        <v>24</v>
      </c>
      <c r="AM1" s="94" t="s">
        <v>24</v>
      </c>
      <c r="AN1" s="94" t="s">
        <v>24</v>
      </c>
      <c r="AO1" s="94" t="s">
        <v>24</v>
      </c>
      <c r="AP1" s="94" t="s">
        <v>24</v>
      </c>
      <c r="AQ1" s="94" t="s">
        <v>24</v>
      </c>
      <c r="AR1" s="94" t="s">
        <v>24</v>
      </c>
      <c r="AS1" s="94" t="s">
        <v>24</v>
      </c>
      <c r="AT1" s="94" t="s">
        <v>24</v>
      </c>
      <c r="AU1" s="94" t="s">
        <v>24</v>
      </c>
      <c r="AV1" s="94" t="s">
        <v>24</v>
      </c>
      <c r="AW1" s="94" t="s">
        <v>25</v>
      </c>
      <c r="AX1" s="94" t="s">
        <v>25</v>
      </c>
      <c r="AY1" s="94" t="s">
        <v>25</v>
      </c>
      <c r="AZ1" s="94" t="s">
        <v>25</v>
      </c>
      <c r="BA1" s="94" t="s">
        <v>25</v>
      </c>
      <c r="BB1" s="94" t="s">
        <v>25</v>
      </c>
      <c r="BC1" s="94" t="s">
        <v>25</v>
      </c>
      <c r="BD1" s="94" t="s">
        <v>25</v>
      </c>
      <c r="BE1" s="94" t="s">
        <v>25</v>
      </c>
      <c r="BF1" s="94" t="s">
        <v>25</v>
      </c>
      <c r="BG1" s="94" t="s">
        <v>25</v>
      </c>
      <c r="BH1" s="94" t="s">
        <v>25</v>
      </c>
      <c r="BI1" s="94" t="s">
        <v>25</v>
      </c>
      <c r="BJ1" s="94" t="s">
        <v>25</v>
      </c>
      <c r="BK1" s="94" t="s">
        <v>25</v>
      </c>
      <c r="BL1" s="94" t="s">
        <v>25</v>
      </c>
      <c r="BM1" s="94" t="s">
        <v>25</v>
      </c>
      <c r="BN1" s="94" t="s">
        <v>25</v>
      </c>
      <c r="BO1" s="94" t="s">
        <v>25</v>
      </c>
      <c r="BP1" s="94" t="s">
        <v>25</v>
      </c>
      <c r="BQ1" s="94" t="s">
        <v>25</v>
      </c>
      <c r="BR1" s="94" t="s">
        <v>25</v>
      </c>
      <c r="BS1" s="94" t="s">
        <v>25</v>
      </c>
      <c r="BT1" s="94" t="s">
        <v>25</v>
      </c>
    </row>
    <row r="2" spans="1:72" x14ac:dyDescent="0.75">
      <c r="A2" s="94" t="s">
        <v>189</v>
      </c>
      <c r="B2" s="95">
        <v>1</v>
      </c>
      <c r="C2" s="95">
        <v>2</v>
      </c>
      <c r="D2" s="95">
        <v>3</v>
      </c>
      <c r="E2" s="95">
        <v>4</v>
      </c>
      <c r="F2" s="95">
        <v>5</v>
      </c>
      <c r="G2" s="95">
        <v>6</v>
      </c>
      <c r="H2" s="95">
        <v>7</v>
      </c>
      <c r="I2" s="95">
        <v>8</v>
      </c>
      <c r="J2" s="95">
        <v>9</v>
      </c>
      <c r="K2" s="95">
        <v>10</v>
      </c>
      <c r="L2" s="95">
        <v>11</v>
      </c>
      <c r="M2" s="95">
        <v>12</v>
      </c>
      <c r="N2" s="95">
        <v>13</v>
      </c>
      <c r="O2" s="95">
        <v>14</v>
      </c>
      <c r="P2" s="95">
        <v>15</v>
      </c>
      <c r="Q2" s="95">
        <v>16</v>
      </c>
      <c r="R2" s="95">
        <v>17</v>
      </c>
      <c r="S2" s="95">
        <v>18</v>
      </c>
      <c r="T2" s="95">
        <v>19</v>
      </c>
      <c r="U2" s="95">
        <v>20</v>
      </c>
      <c r="V2" s="95">
        <v>21</v>
      </c>
      <c r="W2" s="95">
        <v>22</v>
      </c>
      <c r="X2" s="95">
        <v>23</v>
      </c>
      <c r="Y2" s="96">
        <v>1</v>
      </c>
      <c r="Z2" s="96">
        <v>2</v>
      </c>
      <c r="AA2" s="96">
        <v>3</v>
      </c>
      <c r="AB2" s="96">
        <v>4</v>
      </c>
      <c r="AC2" s="96">
        <v>5</v>
      </c>
      <c r="AD2" s="96">
        <v>6</v>
      </c>
      <c r="AE2" s="96">
        <v>7</v>
      </c>
      <c r="AF2" s="96">
        <v>8</v>
      </c>
      <c r="AG2" s="96">
        <v>9</v>
      </c>
      <c r="AH2" s="96">
        <v>10</v>
      </c>
      <c r="AI2" s="96">
        <v>11</v>
      </c>
      <c r="AJ2" s="96">
        <v>12</v>
      </c>
      <c r="AK2" s="96">
        <v>13</v>
      </c>
      <c r="AL2" s="96">
        <v>14</v>
      </c>
      <c r="AM2" s="96">
        <v>15</v>
      </c>
      <c r="AN2" s="96">
        <v>16</v>
      </c>
      <c r="AO2" s="96">
        <v>17</v>
      </c>
      <c r="AP2" s="96">
        <v>18</v>
      </c>
      <c r="AQ2" s="96">
        <v>19</v>
      </c>
      <c r="AR2" s="96">
        <v>20</v>
      </c>
      <c r="AS2" s="96">
        <v>21</v>
      </c>
      <c r="AT2" s="96">
        <v>22</v>
      </c>
      <c r="AU2" s="96">
        <v>23</v>
      </c>
      <c r="AV2" s="96">
        <v>24</v>
      </c>
      <c r="AW2" s="97">
        <v>1</v>
      </c>
      <c r="AX2" s="98">
        <v>2</v>
      </c>
      <c r="AY2" s="97">
        <v>3</v>
      </c>
      <c r="AZ2" s="98">
        <v>4</v>
      </c>
      <c r="BA2" s="97">
        <v>5</v>
      </c>
      <c r="BB2" s="98">
        <v>6</v>
      </c>
      <c r="BC2" s="97">
        <v>7</v>
      </c>
      <c r="BD2" s="98">
        <v>8</v>
      </c>
      <c r="BE2" s="97">
        <v>9</v>
      </c>
      <c r="BF2" s="98">
        <v>10</v>
      </c>
      <c r="BG2" s="97">
        <v>11</v>
      </c>
      <c r="BH2" s="98">
        <v>12</v>
      </c>
      <c r="BI2" s="97">
        <v>13</v>
      </c>
      <c r="BJ2" s="98">
        <v>14</v>
      </c>
      <c r="BK2" s="97">
        <v>15</v>
      </c>
      <c r="BL2" s="98">
        <v>16</v>
      </c>
      <c r="BM2" s="97">
        <v>17</v>
      </c>
      <c r="BN2" s="98">
        <v>18</v>
      </c>
      <c r="BO2" s="97">
        <v>19</v>
      </c>
      <c r="BP2" s="98">
        <v>20</v>
      </c>
      <c r="BQ2" s="97">
        <v>21</v>
      </c>
      <c r="BR2" s="98">
        <v>22</v>
      </c>
      <c r="BS2" s="97">
        <v>23</v>
      </c>
      <c r="BT2" s="98">
        <v>24</v>
      </c>
    </row>
    <row r="3" spans="1:72" x14ac:dyDescent="0.75">
      <c r="A3" s="94" t="s">
        <v>190</v>
      </c>
      <c r="B3" s="99">
        <v>46053</v>
      </c>
      <c r="C3" s="99">
        <v>46081</v>
      </c>
      <c r="D3" s="99">
        <v>46112</v>
      </c>
      <c r="E3" s="99">
        <v>46142</v>
      </c>
      <c r="F3" s="99">
        <v>46173</v>
      </c>
      <c r="G3" s="99">
        <v>46203</v>
      </c>
      <c r="H3" s="99">
        <v>46234</v>
      </c>
      <c r="I3" s="99">
        <v>46265</v>
      </c>
      <c r="J3" s="99">
        <v>46295</v>
      </c>
      <c r="K3" s="99">
        <v>46326</v>
      </c>
      <c r="L3" s="99">
        <v>46356</v>
      </c>
      <c r="M3" s="99">
        <v>46387</v>
      </c>
      <c r="N3" s="99">
        <v>46418</v>
      </c>
      <c r="O3" s="99">
        <v>46446</v>
      </c>
      <c r="P3" s="99">
        <v>46477</v>
      </c>
      <c r="Q3" s="99">
        <v>46507</v>
      </c>
      <c r="R3" s="99">
        <v>46538</v>
      </c>
      <c r="S3" s="99">
        <v>46568</v>
      </c>
      <c r="T3" s="99">
        <v>46599</v>
      </c>
      <c r="U3" s="99">
        <v>46630</v>
      </c>
      <c r="V3" s="99">
        <v>46660</v>
      </c>
      <c r="W3" s="99">
        <v>46691</v>
      </c>
      <c r="X3" s="99">
        <v>46721</v>
      </c>
      <c r="Y3" s="100">
        <v>46053</v>
      </c>
      <c r="Z3" s="100">
        <v>46081</v>
      </c>
      <c r="AA3" s="100">
        <v>46112</v>
      </c>
      <c r="AB3" s="100">
        <v>46142</v>
      </c>
      <c r="AC3" s="100">
        <v>46173</v>
      </c>
      <c r="AD3" s="100">
        <v>46203</v>
      </c>
      <c r="AE3" s="100">
        <v>46234</v>
      </c>
      <c r="AF3" s="100">
        <v>46265</v>
      </c>
      <c r="AG3" s="100">
        <v>46295</v>
      </c>
      <c r="AH3" s="100">
        <v>46326</v>
      </c>
      <c r="AI3" s="100">
        <v>46356</v>
      </c>
      <c r="AJ3" s="100">
        <v>46387</v>
      </c>
      <c r="AK3" s="100">
        <v>46418</v>
      </c>
      <c r="AL3" s="100">
        <v>46446</v>
      </c>
      <c r="AM3" s="100">
        <v>46477</v>
      </c>
      <c r="AN3" s="100">
        <v>46507</v>
      </c>
      <c r="AO3" s="100">
        <v>46538</v>
      </c>
      <c r="AP3" s="100">
        <v>46568</v>
      </c>
      <c r="AQ3" s="100">
        <v>46599</v>
      </c>
      <c r="AR3" s="100">
        <v>46630</v>
      </c>
      <c r="AS3" s="100">
        <v>46660</v>
      </c>
      <c r="AT3" s="100">
        <v>46691</v>
      </c>
      <c r="AU3" s="100">
        <v>46721</v>
      </c>
      <c r="AV3" s="100">
        <v>46752</v>
      </c>
      <c r="AW3" s="101">
        <v>46053</v>
      </c>
      <c r="AX3" s="102">
        <v>46081</v>
      </c>
      <c r="AY3" s="101">
        <v>46112</v>
      </c>
      <c r="AZ3" s="102">
        <v>46142</v>
      </c>
      <c r="BA3" s="101">
        <v>46173</v>
      </c>
      <c r="BB3" s="102">
        <v>46203</v>
      </c>
      <c r="BC3" s="101">
        <v>46234</v>
      </c>
      <c r="BD3" s="102">
        <v>46265</v>
      </c>
      <c r="BE3" s="101">
        <v>46295</v>
      </c>
      <c r="BF3" s="102">
        <v>46326</v>
      </c>
      <c r="BG3" s="101">
        <v>46356</v>
      </c>
      <c r="BH3" s="102">
        <v>46387</v>
      </c>
      <c r="BI3" s="101">
        <v>46418</v>
      </c>
      <c r="BJ3" s="102">
        <v>46446</v>
      </c>
      <c r="BK3" s="101">
        <v>46477</v>
      </c>
      <c r="BL3" s="102">
        <v>46507</v>
      </c>
      <c r="BM3" s="101">
        <v>46538</v>
      </c>
      <c r="BN3" s="102">
        <v>46568</v>
      </c>
      <c r="BO3" s="101">
        <v>46599</v>
      </c>
      <c r="BP3" s="102">
        <v>46630</v>
      </c>
      <c r="BQ3" s="101">
        <v>46660</v>
      </c>
      <c r="BR3" s="102">
        <v>46691</v>
      </c>
      <c r="BS3" s="101">
        <v>46721</v>
      </c>
      <c r="BT3" s="102">
        <v>46752</v>
      </c>
    </row>
    <row r="4" spans="1:72" x14ac:dyDescent="0.75">
      <c r="A4" s="94" t="s">
        <v>191</v>
      </c>
      <c r="B4" s="103">
        <v>0.02</v>
      </c>
      <c r="C4" s="103">
        <v>0.02</v>
      </c>
      <c r="D4" s="103">
        <v>0.02</v>
      </c>
      <c r="E4" s="103">
        <v>0.02</v>
      </c>
      <c r="F4" s="103">
        <v>0.02</v>
      </c>
      <c r="G4" s="103">
        <v>0.02</v>
      </c>
      <c r="H4" s="103">
        <v>0.02</v>
      </c>
      <c r="I4" s="103">
        <v>0.02</v>
      </c>
      <c r="J4" s="103">
        <v>0.02</v>
      </c>
      <c r="K4" s="103">
        <v>0.02</v>
      </c>
      <c r="L4" s="103">
        <v>0.02</v>
      </c>
      <c r="M4" s="103">
        <v>0.02</v>
      </c>
      <c r="N4" s="103">
        <v>0.02</v>
      </c>
      <c r="O4" s="103">
        <v>0.02</v>
      </c>
      <c r="P4" s="103">
        <v>0.02</v>
      </c>
      <c r="Q4" s="103">
        <v>0.02</v>
      </c>
      <c r="R4" s="103">
        <v>0.02</v>
      </c>
      <c r="S4" s="103">
        <v>0.02</v>
      </c>
      <c r="T4" s="103">
        <v>0.02</v>
      </c>
      <c r="U4" s="103">
        <v>0.02</v>
      </c>
      <c r="V4" s="103">
        <v>0.02</v>
      </c>
      <c r="W4" s="103">
        <v>0.02</v>
      </c>
      <c r="X4" s="103">
        <v>0.02</v>
      </c>
      <c r="Y4" s="104">
        <v>1.7999999999999999E-2</v>
      </c>
      <c r="Z4" s="104">
        <v>1.7999999999999999E-2</v>
      </c>
      <c r="AA4" s="104">
        <v>1.7999999999999999E-2</v>
      </c>
      <c r="AB4" s="104">
        <v>1.7999999999999999E-2</v>
      </c>
      <c r="AC4" s="104">
        <v>1.7999999999999999E-2</v>
      </c>
      <c r="AD4" s="104">
        <v>1.7999999999999999E-2</v>
      </c>
      <c r="AE4" s="104">
        <v>1.7999999999999999E-2</v>
      </c>
      <c r="AF4" s="104">
        <v>1.7999999999999999E-2</v>
      </c>
      <c r="AG4" s="104">
        <v>1.7999999999999999E-2</v>
      </c>
      <c r="AH4" s="104">
        <v>1.7999999999999999E-2</v>
      </c>
      <c r="AI4" s="104">
        <v>1.7999999999999999E-2</v>
      </c>
      <c r="AJ4" s="104">
        <v>1.7999999999999999E-2</v>
      </c>
      <c r="AK4" s="104">
        <v>1.7999999999999999E-2</v>
      </c>
      <c r="AL4" s="104">
        <v>1.7999999999999999E-2</v>
      </c>
      <c r="AM4" s="104">
        <v>1.7999999999999999E-2</v>
      </c>
      <c r="AN4" s="104">
        <v>1.7999999999999999E-2</v>
      </c>
      <c r="AO4" s="104">
        <v>1.7999999999999999E-2</v>
      </c>
      <c r="AP4" s="104">
        <v>1.7999999999999999E-2</v>
      </c>
      <c r="AQ4" s="104">
        <v>1.7999999999999999E-2</v>
      </c>
      <c r="AR4" s="104">
        <v>1.7999999999999999E-2</v>
      </c>
      <c r="AS4" s="104">
        <v>1.7999999999999999E-2</v>
      </c>
      <c r="AT4" s="104">
        <v>1.7999999999999999E-2</v>
      </c>
      <c r="AU4" s="104">
        <v>1.7999999999999999E-2</v>
      </c>
      <c r="AV4" s="104">
        <v>1.7999999999999999E-2</v>
      </c>
      <c r="AW4" s="105">
        <v>2.1999999999999999E-2</v>
      </c>
      <c r="AX4" s="106">
        <v>2.1999999999999999E-2</v>
      </c>
      <c r="AY4" s="105">
        <v>2.1999999999999999E-2</v>
      </c>
      <c r="AZ4" s="106">
        <v>2.1999999999999999E-2</v>
      </c>
      <c r="BA4" s="105">
        <v>2.1999999999999999E-2</v>
      </c>
      <c r="BB4" s="106">
        <v>2.1999999999999999E-2</v>
      </c>
      <c r="BC4" s="105">
        <v>2.1999999999999999E-2</v>
      </c>
      <c r="BD4" s="106">
        <v>2.1999999999999999E-2</v>
      </c>
      <c r="BE4" s="105">
        <v>2.1999999999999999E-2</v>
      </c>
      <c r="BF4" s="106">
        <v>2.1999999999999999E-2</v>
      </c>
      <c r="BG4" s="105">
        <v>2.1999999999999999E-2</v>
      </c>
      <c r="BH4" s="106">
        <v>2.1999999999999999E-2</v>
      </c>
      <c r="BI4" s="105">
        <v>2.1999999999999999E-2</v>
      </c>
      <c r="BJ4" s="106">
        <v>2.1999999999999999E-2</v>
      </c>
      <c r="BK4" s="105">
        <v>2.1999999999999999E-2</v>
      </c>
      <c r="BL4" s="106">
        <v>2.1999999999999999E-2</v>
      </c>
      <c r="BM4" s="105">
        <v>2.1999999999999999E-2</v>
      </c>
      <c r="BN4" s="106">
        <v>2.1999999999999999E-2</v>
      </c>
      <c r="BO4" s="105">
        <v>2.1999999999999999E-2</v>
      </c>
      <c r="BP4" s="106">
        <v>2.1999999999999999E-2</v>
      </c>
      <c r="BQ4" s="105">
        <v>2.1999999999999999E-2</v>
      </c>
      <c r="BR4" s="106">
        <v>2.1999999999999999E-2</v>
      </c>
      <c r="BS4" s="105">
        <v>2.1999999999999999E-2</v>
      </c>
      <c r="BT4" s="106">
        <v>2.1999999999999999E-2</v>
      </c>
    </row>
    <row r="5" spans="1:72" x14ac:dyDescent="0.75">
      <c r="A5" s="94" t="s">
        <v>53</v>
      </c>
      <c r="B5" s="103">
        <v>1.1999999999999999E-3</v>
      </c>
      <c r="C5" s="103">
        <v>1.2999999999999999E-3</v>
      </c>
      <c r="D5" s="103">
        <v>1.4E-3</v>
      </c>
      <c r="E5" s="103">
        <v>1.5E-3</v>
      </c>
      <c r="F5" s="103">
        <v>1.6000000000000001E-3</v>
      </c>
      <c r="G5" s="103">
        <v>1.6999999999999999E-3</v>
      </c>
      <c r="H5" s="103">
        <v>1.6000000000000001E-3</v>
      </c>
      <c r="I5" s="103">
        <v>1.6000000000000001E-3</v>
      </c>
      <c r="J5" s="103">
        <v>1.5E-3</v>
      </c>
      <c r="K5" s="103">
        <v>1.5E-3</v>
      </c>
      <c r="L5" s="103">
        <v>1.5E-3</v>
      </c>
      <c r="M5" s="103">
        <v>1.6000000000000001E-3</v>
      </c>
      <c r="N5" s="103">
        <v>1.6999999999999999E-3</v>
      </c>
      <c r="O5" s="103">
        <v>1.8E-3</v>
      </c>
      <c r="P5" s="103">
        <v>1.8E-3</v>
      </c>
      <c r="Q5" s="103">
        <v>1.6999999999999999E-3</v>
      </c>
      <c r="R5" s="103">
        <v>1.6000000000000001E-3</v>
      </c>
      <c r="S5" s="103">
        <v>1.6000000000000001E-3</v>
      </c>
      <c r="T5" s="103">
        <v>1.5E-3</v>
      </c>
      <c r="U5" s="103">
        <v>1.5E-3</v>
      </c>
      <c r="V5" s="103">
        <v>1.4E-3</v>
      </c>
      <c r="W5" s="103">
        <v>1.4E-3</v>
      </c>
      <c r="X5" s="103">
        <v>1.2999999999999999E-3</v>
      </c>
      <c r="Y5" s="104">
        <v>8.0000000000000004E-4</v>
      </c>
      <c r="Z5" s="104">
        <v>8.0000000000000004E-4</v>
      </c>
      <c r="AA5" s="104">
        <v>8.9999999999999998E-4</v>
      </c>
      <c r="AB5" s="104">
        <v>8.9999999999999998E-4</v>
      </c>
      <c r="AC5" s="104">
        <v>1E-3</v>
      </c>
      <c r="AD5" s="104">
        <v>1E-3</v>
      </c>
      <c r="AE5" s="104">
        <v>8.9999999999999998E-4</v>
      </c>
      <c r="AF5" s="104">
        <v>8.9999999999999998E-4</v>
      </c>
      <c r="AG5" s="104">
        <v>8.9999999999999998E-4</v>
      </c>
      <c r="AH5" s="104">
        <v>8.0000000000000004E-4</v>
      </c>
      <c r="AI5" s="104">
        <v>8.0000000000000004E-4</v>
      </c>
      <c r="AJ5" s="104">
        <v>8.0000000000000004E-4</v>
      </c>
      <c r="AK5" s="104">
        <v>8.0000000000000004E-4</v>
      </c>
      <c r="AL5" s="104">
        <v>8.0000000000000004E-4</v>
      </c>
      <c r="AM5" s="104">
        <v>8.0000000000000004E-4</v>
      </c>
      <c r="AN5" s="104">
        <v>8.0000000000000004E-4</v>
      </c>
      <c r="AO5" s="104">
        <v>8.0000000000000004E-4</v>
      </c>
      <c r="AP5" s="104">
        <v>8.0000000000000004E-4</v>
      </c>
      <c r="AQ5" s="104">
        <v>8.0000000000000004E-4</v>
      </c>
      <c r="AR5" s="104">
        <v>8.0000000000000004E-4</v>
      </c>
      <c r="AS5" s="104">
        <v>8.0000000000000004E-4</v>
      </c>
      <c r="AT5" s="104">
        <v>8.0000000000000004E-4</v>
      </c>
      <c r="AU5" s="104">
        <v>8.0000000000000004E-4</v>
      </c>
      <c r="AV5" s="104">
        <v>8.0000000000000004E-4</v>
      </c>
      <c r="AW5" s="105">
        <v>2E-3</v>
      </c>
      <c r="AX5" s="106">
        <v>2.2000000000000001E-3</v>
      </c>
      <c r="AY5" s="105">
        <v>2.3999999999999998E-3</v>
      </c>
      <c r="AZ5" s="106">
        <v>2.5999999999999999E-3</v>
      </c>
      <c r="BA5" s="105">
        <v>2.8E-3</v>
      </c>
      <c r="BB5" s="106">
        <v>3.0000000000000001E-3</v>
      </c>
      <c r="BC5" s="105">
        <v>3.2000000000000002E-3</v>
      </c>
      <c r="BD5" s="106">
        <v>3.3E-3</v>
      </c>
      <c r="BE5" s="105">
        <v>3.3999999999999998E-3</v>
      </c>
      <c r="BF5" s="106">
        <v>3.5000000000000001E-3</v>
      </c>
      <c r="BG5" s="105">
        <v>3.5999999999999999E-3</v>
      </c>
      <c r="BH5" s="106">
        <v>3.5999999999999999E-3</v>
      </c>
      <c r="BI5" s="105">
        <v>3.5000000000000001E-3</v>
      </c>
      <c r="BJ5" s="106">
        <v>3.3999999999999998E-3</v>
      </c>
      <c r="BK5" s="105">
        <v>3.3E-3</v>
      </c>
      <c r="BL5" s="106">
        <v>3.2000000000000002E-3</v>
      </c>
      <c r="BM5" s="105">
        <v>3.0999999999999999E-3</v>
      </c>
      <c r="BN5" s="106">
        <v>3.0000000000000001E-3</v>
      </c>
      <c r="BO5" s="105">
        <v>2.8999999999999998E-3</v>
      </c>
      <c r="BP5" s="106">
        <v>2.8E-3</v>
      </c>
      <c r="BQ5" s="105">
        <v>2.7000000000000001E-3</v>
      </c>
      <c r="BR5" s="106">
        <v>2.5999999999999999E-3</v>
      </c>
      <c r="BS5" s="105">
        <v>2.5000000000000001E-3</v>
      </c>
      <c r="BT5" s="106">
        <v>2.3999999999999998E-3</v>
      </c>
    </row>
    <row r="6" spans="1:72" x14ac:dyDescent="0.75">
      <c r="A6" s="94" t="s">
        <v>31</v>
      </c>
      <c r="B6" s="103">
        <v>0.92</v>
      </c>
      <c r="C6" s="103">
        <v>0.92</v>
      </c>
      <c r="D6" s="103">
        <v>0.92</v>
      </c>
      <c r="E6" s="103">
        <v>0.92</v>
      </c>
      <c r="F6" s="103">
        <v>0.92</v>
      </c>
      <c r="G6" s="103">
        <v>0.92</v>
      </c>
      <c r="H6" s="103">
        <v>0.92</v>
      </c>
      <c r="I6" s="103">
        <v>0.92</v>
      </c>
      <c r="J6" s="103">
        <v>0.92</v>
      </c>
      <c r="K6" s="103">
        <v>0.92</v>
      </c>
      <c r="L6" s="103">
        <v>0.92</v>
      </c>
      <c r="M6" s="103">
        <v>0.92</v>
      </c>
      <c r="N6" s="103">
        <v>0.92</v>
      </c>
      <c r="O6" s="103">
        <v>0.92</v>
      </c>
      <c r="P6" s="103">
        <v>0.92</v>
      </c>
      <c r="Q6" s="103">
        <v>0.92</v>
      </c>
      <c r="R6" s="103">
        <v>0.92</v>
      </c>
      <c r="S6" s="103">
        <v>0.92</v>
      </c>
      <c r="T6" s="103">
        <v>0.92</v>
      </c>
      <c r="U6" s="103">
        <v>0.92</v>
      </c>
      <c r="V6" s="103">
        <v>0.92</v>
      </c>
      <c r="W6" s="103">
        <v>0.92</v>
      </c>
      <c r="X6" s="103">
        <v>0.92</v>
      </c>
      <c r="Y6" s="104">
        <v>0.94</v>
      </c>
      <c r="Z6" s="104">
        <v>0.94</v>
      </c>
      <c r="AA6" s="104">
        <v>0.94</v>
      </c>
      <c r="AB6" s="104">
        <v>0.94</v>
      </c>
      <c r="AC6" s="104">
        <v>0.94</v>
      </c>
      <c r="AD6" s="104">
        <v>0.94</v>
      </c>
      <c r="AE6" s="104">
        <v>0.94</v>
      </c>
      <c r="AF6" s="104">
        <v>0.94</v>
      </c>
      <c r="AG6" s="104">
        <v>0.94</v>
      </c>
      <c r="AH6" s="104">
        <v>0.94</v>
      </c>
      <c r="AI6" s="104">
        <v>0.94</v>
      </c>
      <c r="AJ6" s="104">
        <v>0.94</v>
      </c>
      <c r="AK6" s="104">
        <v>0.94</v>
      </c>
      <c r="AL6" s="104">
        <v>0.94</v>
      </c>
      <c r="AM6" s="104">
        <v>0.94</v>
      </c>
      <c r="AN6" s="104">
        <v>0.94</v>
      </c>
      <c r="AO6" s="104">
        <v>0.94</v>
      </c>
      <c r="AP6" s="104">
        <v>0.94</v>
      </c>
      <c r="AQ6" s="104">
        <v>0.94</v>
      </c>
      <c r="AR6" s="104">
        <v>0.94</v>
      </c>
      <c r="AS6" s="104">
        <v>0.94</v>
      </c>
      <c r="AT6" s="104">
        <v>0.94</v>
      </c>
      <c r="AU6" s="104">
        <v>0.94</v>
      </c>
      <c r="AV6" s="104">
        <v>0.94</v>
      </c>
      <c r="AW6" s="105">
        <v>0.88</v>
      </c>
      <c r="AX6" s="106">
        <v>0.88</v>
      </c>
      <c r="AY6" s="105">
        <v>0.88</v>
      </c>
      <c r="AZ6" s="106">
        <v>0.88</v>
      </c>
      <c r="BA6" s="105">
        <v>0.88</v>
      </c>
      <c r="BB6" s="106">
        <v>0.88</v>
      </c>
      <c r="BC6" s="105">
        <v>0.88</v>
      </c>
      <c r="BD6" s="106">
        <v>0.88</v>
      </c>
      <c r="BE6" s="105">
        <v>0.88</v>
      </c>
      <c r="BF6" s="106">
        <v>0.88</v>
      </c>
      <c r="BG6" s="105">
        <v>0.88</v>
      </c>
      <c r="BH6" s="106">
        <v>0.88</v>
      </c>
      <c r="BI6" s="105">
        <v>0.88</v>
      </c>
      <c r="BJ6" s="106">
        <v>0.88</v>
      </c>
      <c r="BK6" s="105">
        <v>0.88</v>
      </c>
      <c r="BL6" s="106">
        <v>0.88</v>
      </c>
      <c r="BM6" s="105">
        <v>0.88</v>
      </c>
      <c r="BN6" s="106">
        <v>0.88</v>
      </c>
      <c r="BO6" s="105">
        <v>0.88</v>
      </c>
      <c r="BP6" s="106">
        <v>0.88</v>
      </c>
      <c r="BQ6" s="105">
        <v>0.88</v>
      </c>
      <c r="BR6" s="106">
        <v>0.88</v>
      </c>
      <c r="BS6" s="105">
        <v>0.88</v>
      </c>
      <c r="BT6" s="106">
        <v>0.88</v>
      </c>
    </row>
    <row r="7" spans="1:72" x14ac:dyDescent="0.75">
      <c r="A7" s="94" t="s">
        <v>192</v>
      </c>
      <c r="B7" s="107">
        <v>1.01</v>
      </c>
      <c r="C7" s="107">
        <v>1.02</v>
      </c>
      <c r="D7" s="107">
        <v>1.03</v>
      </c>
      <c r="E7" s="107">
        <v>1.0349999999999999</v>
      </c>
      <c r="F7" s="107">
        <v>1.04</v>
      </c>
      <c r="G7" s="107">
        <v>1.0449999999999999</v>
      </c>
      <c r="H7" s="107">
        <v>1.04</v>
      </c>
      <c r="I7" s="107">
        <v>1.0349999999999999</v>
      </c>
      <c r="J7" s="107">
        <v>1.03</v>
      </c>
      <c r="K7" s="107">
        <v>1.03</v>
      </c>
      <c r="L7" s="107">
        <v>1.0349999999999999</v>
      </c>
      <c r="M7" s="107">
        <v>1.04</v>
      </c>
      <c r="N7" s="107">
        <v>1.04</v>
      </c>
      <c r="O7" s="107">
        <v>1.0349999999999999</v>
      </c>
      <c r="P7" s="107">
        <v>1.03</v>
      </c>
      <c r="Q7" s="107">
        <v>1.0249999999999999</v>
      </c>
      <c r="R7" s="107">
        <v>1.02</v>
      </c>
      <c r="S7" s="107">
        <v>1.02</v>
      </c>
      <c r="T7" s="107">
        <v>1.0149999999999999</v>
      </c>
      <c r="U7" s="107">
        <v>1.01</v>
      </c>
      <c r="V7" s="107">
        <v>1.0049999999999999</v>
      </c>
      <c r="W7" s="107">
        <v>1</v>
      </c>
      <c r="X7" s="107">
        <v>1</v>
      </c>
      <c r="Y7" s="108">
        <v>1.02</v>
      </c>
      <c r="Z7" s="108">
        <v>1.04</v>
      </c>
      <c r="AA7" s="108">
        <v>1.0549999999999999</v>
      </c>
      <c r="AB7" s="108">
        <v>1.07</v>
      </c>
      <c r="AC7" s="108">
        <v>1.08</v>
      </c>
      <c r="AD7" s="108">
        <v>1.0900000000000001</v>
      </c>
      <c r="AE7" s="108">
        <v>1.095</v>
      </c>
      <c r="AF7" s="108">
        <v>1.1000000000000001</v>
      </c>
      <c r="AG7" s="108">
        <v>1.105</v>
      </c>
      <c r="AH7" s="108">
        <v>1.1100000000000001</v>
      </c>
      <c r="AI7" s="108">
        <v>1.115</v>
      </c>
      <c r="AJ7" s="108">
        <v>1.1200000000000001</v>
      </c>
      <c r="AK7" s="108">
        <v>1.1200000000000001</v>
      </c>
      <c r="AL7" s="108">
        <v>1.115</v>
      </c>
      <c r="AM7" s="108">
        <v>1.1100000000000001</v>
      </c>
      <c r="AN7" s="108">
        <v>1.105</v>
      </c>
      <c r="AO7" s="108">
        <v>1.1000000000000001</v>
      </c>
      <c r="AP7" s="108">
        <v>1.1000000000000001</v>
      </c>
      <c r="AQ7" s="108">
        <v>1.1000000000000001</v>
      </c>
      <c r="AR7" s="108">
        <v>1.095</v>
      </c>
      <c r="AS7" s="108">
        <v>1.0900000000000001</v>
      </c>
      <c r="AT7" s="108">
        <v>1.085</v>
      </c>
      <c r="AU7" s="108">
        <v>1.08</v>
      </c>
      <c r="AV7" s="108">
        <v>1.08</v>
      </c>
      <c r="AW7" s="109">
        <v>0.99</v>
      </c>
      <c r="AX7" s="110">
        <v>0.97499999999999998</v>
      </c>
      <c r="AY7" s="109">
        <v>0.96</v>
      </c>
      <c r="AZ7" s="110">
        <v>0.94499999999999995</v>
      </c>
      <c r="BA7" s="109">
        <v>0.93</v>
      </c>
      <c r="BB7" s="110">
        <v>0.91500000000000004</v>
      </c>
      <c r="BC7" s="109">
        <v>0.9</v>
      </c>
      <c r="BD7" s="110">
        <v>0.89500000000000002</v>
      </c>
      <c r="BE7" s="109">
        <v>0.9</v>
      </c>
      <c r="BF7" s="110">
        <v>0.90500000000000003</v>
      </c>
      <c r="BG7" s="109">
        <v>0.91</v>
      </c>
      <c r="BH7" s="110">
        <v>0.91500000000000004</v>
      </c>
      <c r="BI7" s="109">
        <v>0.92</v>
      </c>
      <c r="BJ7" s="110">
        <v>0.92500000000000004</v>
      </c>
      <c r="BK7" s="109">
        <v>0.93</v>
      </c>
      <c r="BL7" s="110">
        <v>0.93500000000000005</v>
      </c>
      <c r="BM7" s="109">
        <v>0.94</v>
      </c>
      <c r="BN7" s="110">
        <v>0.94499999999999995</v>
      </c>
      <c r="BO7" s="109">
        <v>0.95</v>
      </c>
      <c r="BP7" s="110">
        <v>0.95499999999999996</v>
      </c>
      <c r="BQ7" s="109">
        <v>0.96</v>
      </c>
      <c r="BR7" s="110">
        <v>0.96499999999999997</v>
      </c>
      <c r="BS7" s="109">
        <v>0.97</v>
      </c>
      <c r="BT7" s="110">
        <v>0.97499999999999998</v>
      </c>
    </row>
    <row r="8" spans="1:72" x14ac:dyDescent="0.75">
      <c r="A8" s="94" t="s">
        <v>193</v>
      </c>
      <c r="B8" s="111">
        <v>0.02</v>
      </c>
      <c r="C8" s="111">
        <v>0.02</v>
      </c>
      <c r="D8" s="111">
        <v>0.02</v>
      </c>
      <c r="E8" s="111">
        <v>0.02</v>
      </c>
      <c r="F8" s="111">
        <v>0.02</v>
      </c>
      <c r="G8" s="111">
        <v>0.02</v>
      </c>
      <c r="H8" s="111">
        <v>0.02</v>
      </c>
      <c r="I8" s="111">
        <v>0.02</v>
      </c>
      <c r="J8" s="111">
        <v>0.02</v>
      </c>
      <c r="K8" s="111">
        <v>0.02</v>
      </c>
      <c r="L8" s="111">
        <v>0.02</v>
      </c>
      <c r="M8" s="111">
        <v>0.02</v>
      </c>
      <c r="N8" s="111">
        <v>0.02</v>
      </c>
      <c r="O8" s="111">
        <v>0.02</v>
      </c>
      <c r="P8" s="111">
        <v>0.02</v>
      </c>
      <c r="Q8" s="111">
        <v>0.02</v>
      </c>
      <c r="R8" s="111">
        <v>0.02</v>
      </c>
      <c r="S8" s="111">
        <v>0.02</v>
      </c>
      <c r="T8" s="111">
        <v>0.02</v>
      </c>
      <c r="U8" s="111">
        <v>0.02</v>
      </c>
      <c r="V8" s="111">
        <v>0.02</v>
      </c>
      <c r="W8" s="111">
        <v>0.02</v>
      </c>
      <c r="X8" s="111">
        <v>0.02</v>
      </c>
      <c r="Y8" s="112">
        <v>1.7999999999999999E-2</v>
      </c>
      <c r="Z8" s="112">
        <v>1.7999999999999999E-2</v>
      </c>
      <c r="AA8" s="112">
        <v>1.7999999999999999E-2</v>
      </c>
      <c r="AB8" s="112">
        <v>1.7999999999999999E-2</v>
      </c>
      <c r="AC8" s="112">
        <v>1.7999999999999999E-2</v>
      </c>
      <c r="AD8" s="112">
        <v>1.7999999999999999E-2</v>
      </c>
      <c r="AE8" s="112">
        <v>1.7999999999999999E-2</v>
      </c>
      <c r="AF8" s="112">
        <v>1.7999999999999999E-2</v>
      </c>
      <c r="AG8" s="112">
        <v>1.7999999999999999E-2</v>
      </c>
      <c r="AH8" s="112">
        <v>1.7999999999999999E-2</v>
      </c>
      <c r="AI8" s="112">
        <v>1.7999999999999999E-2</v>
      </c>
      <c r="AJ8" s="112">
        <v>1.7999999999999999E-2</v>
      </c>
      <c r="AK8" s="112">
        <v>1.7999999999999999E-2</v>
      </c>
      <c r="AL8" s="112">
        <v>1.7999999999999999E-2</v>
      </c>
      <c r="AM8" s="112">
        <v>1.7999999999999999E-2</v>
      </c>
      <c r="AN8" s="112">
        <v>1.7999999999999999E-2</v>
      </c>
      <c r="AO8" s="112">
        <v>1.7999999999999999E-2</v>
      </c>
      <c r="AP8" s="112">
        <v>1.7999999999999999E-2</v>
      </c>
      <c r="AQ8" s="112">
        <v>1.7999999999999999E-2</v>
      </c>
      <c r="AR8" s="112">
        <v>1.7999999999999999E-2</v>
      </c>
      <c r="AS8" s="112">
        <v>1.7999999999999999E-2</v>
      </c>
      <c r="AT8" s="112">
        <v>1.7999999999999999E-2</v>
      </c>
      <c r="AU8" s="112">
        <v>1.7999999999999999E-2</v>
      </c>
      <c r="AV8" s="112">
        <v>1.7999999999999999E-2</v>
      </c>
      <c r="AW8" s="113">
        <v>2.1999999999999999E-2</v>
      </c>
      <c r="AX8" s="114">
        <v>2.1999999999999999E-2</v>
      </c>
      <c r="AY8" s="113">
        <v>2.1999999999999999E-2</v>
      </c>
      <c r="AZ8" s="114">
        <v>2.1999999999999999E-2</v>
      </c>
      <c r="BA8" s="113">
        <v>2.1999999999999999E-2</v>
      </c>
      <c r="BB8" s="114">
        <v>2.1999999999999999E-2</v>
      </c>
      <c r="BC8" s="113">
        <v>2.1999999999999999E-2</v>
      </c>
      <c r="BD8" s="114">
        <v>2.1999999999999999E-2</v>
      </c>
      <c r="BE8" s="113">
        <v>2.1999999999999999E-2</v>
      </c>
      <c r="BF8" s="114">
        <v>2.1999999999999999E-2</v>
      </c>
      <c r="BG8" s="113">
        <v>2.1999999999999999E-2</v>
      </c>
      <c r="BH8" s="114">
        <v>2.1999999999999999E-2</v>
      </c>
      <c r="BI8" s="113">
        <v>2.1999999999999999E-2</v>
      </c>
      <c r="BJ8" s="114">
        <v>2.1999999999999999E-2</v>
      </c>
      <c r="BK8" s="113">
        <v>2.1999999999999999E-2</v>
      </c>
      <c r="BL8" s="114">
        <v>2.1999999999999999E-2</v>
      </c>
      <c r="BM8" s="113">
        <v>2.1999999999999999E-2</v>
      </c>
      <c r="BN8" s="114">
        <v>2.1999999999999999E-2</v>
      </c>
      <c r="BO8" s="113">
        <v>2.1999999999999999E-2</v>
      </c>
      <c r="BP8" s="114">
        <v>2.1999999999999999E-2</v>
      </c>
      <c r="BQ8" s="113">
        <v>2.1999999999999999E-2</v>
      </c>
      <c r="BR8" s="114">
        <v>2.1999999999999999E-2</v>
      </c>
      <c r="BS8" s="113">
        <v>2.1999999999999999E-2</v>
      </c>
      <c r="BT8" s="114">
        <v>2.1999999999999999E-2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Sources_Uses</vt:lpstr>
      <vt:lpstr>Rollforward</vt:lpstr>
      <vt:lpstr>Waterfall</vt:lpstr>
      <vt:lpstr>Returns</vt:lpstr>
      <vt:lpstr>Originator</vt:lpstr>
      <vt:lpstr>Tests</vt:lpstr>
      <vt:lpstr>Monthly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Hanh Hoang</dc:creator>
  <dc:description/>
  <cp:lastModifiedBy>Carson Desmarais</cp:lastModifiedBy>
  <cp:revision>0</cp:revision>
  <dcterms:created xsi:type="dcterms:W3CDTF">2026-03-20T12:38:02Z</dcterms:created>
  <dcterms:modified xsi:type="dcterms:W3CDTF">2026-07-17T02:46:57Z</dcterms:modified>
  <dc:language>en-US</dc:language>
</cp:coreProperties>
</file>