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 hidePivotFieldList="1"/>
  <mc:AlternateContent xmlns:mc="http://schemas.openxmlformats.org/markup-compatibility/2006">
    <mc:Choice Requires="x15">
      <x15ac:absPath xmlns:x15ac="http://schemas.microsoft.com/office/spreadsheetml/2010/11/ac" url="/Users/bobvissers/Desktop/"/>
    </mc:Choice>
  </mc:AlternateContent>
  <xr:revisionPtr revIDLastSave="0" documentId="13_ncr:1_{499653F2-528D-B54C-865B-2451D8272032}" xr6:coauthVersionLast="47" xr6:coauthVersionMax="47" xr10:uidLastSave="{00000000-0000-0000-0000-000000000000}"/>
  <bookViews>
    <workbookView xWindow="16000" yWindow="760" windowWidth="18480" windowHeight="21580" tabRatio="717" xr2:uid="{00000000-000D-0000-FFFF-FFFF00000000}"/>
  </bookViews>
  <sheets>
    <sheet name="Planned" sheetId="6" r:id="rId1"/>
    <sheet name="Vendor_STS" sheetId="4" r:id="rId2"/>
    <sheet name="Vendor_RTA" sheetId="3" r:id="rId3"/>
    <sheet name="Timebooking (Internal team)" sheetId="2" r:id="rId4"/>
    <sheet name="Tracker" sheetId="5" r:id="rId5"/>
    <sheet name="Chart" sheetId="7" state="hidden" r:id="rId6"/>
  </sheets>
  <definedNames>
    <definedName name="_xlnm._FilterDatabase" localSheetId="3" hidden="1">'Timebooking (Internal team)'!$A$1:$K$252</definedName>
    <definedName name="_xlnm._FilterDatabase" localSheetId="2" hidden="1">Vendor_RTA!$A$8:$G$128</definedName>
    <definedName name="_xlnm._FilterDatabase" localSheetId="1" hidden="1">Vendor_STS!$A$4:$E$124</definedName>
    <definedName name="_xlnm.Print_Area" localSheetId="3">'Timebooking (Internal team)'!$A$1:$H$285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3" l="1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9" i="3"/>
  <c r="E16" i="6"/>
  <c r="K15" i="2" s="1"/>
  <c r="E14" i="6"/>
  <c r="K3" i="2" s="1"/>
  <c r="C27" i="6"/>
  <c r="D27" i="6" s="1"/>
  <c r="D27" i="5" s="1"/>
  <c r="C26" i="6"/>
  <c r="D26" i="6" s="1"/>
  <c r="D26" i="5" s="1"/>
  <c r="C7" i="5"/>
  <c r="C8" i="5"/>
  <c r="C9" i="5"/>
  <c r="C6" i="5"/>
  <c r="E6" i="3" l="1"/>
  <c r="E5" i="3"/>
  <c r="E4" i="3"/>
  <c r="K184" i="2"/>
  <c r="K182" i="2"/>
  <c r="K114" i="2"/>
  <c r="K113" i="2"/>
  <c r="K58" i="2"/>
  <c r="K57" i="2"/>
  <c r="K112" i="2"/>
  <c r="K110" i="2"/>
  <c r="K238" i="2"/>
  <c r="K170" i="2"/>
  <c r="K44" i="2"/>
  <c r="K169" i="2"/>
  <c r="K43" i="2"/>
  <c r="K93" i="2"/>
  <c r="K235" i="2"/>
  <c r="K92" i="2"/>
  <c r="K211" i="2"/>
  <c r="K157" i="2"/>
  <c r="K77" i="2"/>
  <c r="K23" i="2"/>
  <c r="K210" i="2"/>
  <c r="K156" i="2"/>
  <c r="K76" i="2"/>
  <c r="K22" i="2"/>
  <c r="K181" i="2"/>
  <c r="K56" i="2"/>
  <c r="K180" i="2"/>
  <c r="K55" i="2"/>
  <c r="K95" i="2"/>
  <c r="K237" i="2"/>
  <c r="K94" i="2"/>
  <c r="K236" i="2"/>
  <c r="K168" i="2"/>
  <c r="K42" i="2"/>
  <c r="K167" i="2"/>
  <c r="K41" i="2"/>
  <c r="K209" i="2"/>
  <c r="K155" i="2"/>
  <c r="K74" i="2"/>
  <c r="K21" i="2"/>
  <c r="K208" i="2"/>
  <c r="K154" i="2"/>
  <c r="K73" i="2"/>
  <c r="K20" i="2"/>
  <c r="K234" i="2"/>
  <c r="K179" i="2"/>
  <c r="K166" i="2"/>
  <c r="K109" i="2"/>
  <c r="K72" i="2"/>
  <c r="K54" i="2"/>
  <c r="K19" i="2"/>
  <c r="K191" i="2"/>
  <c r="K165" i="2"/>
  <c r="K152" i="2"/>
  <c r="K90" i="2"/>
  <c r="K53" i="2"/>
  <c r="K32" i="2"/>
  <c r="K2" i="2"/>
  <c r="K177" i="2"/>
  <c r="K164" i="2"/>
  <c r="K107" i="2"/>
  <c r="K70" i="2"/>
  <c r="K50" i="2"/>
  <c r="K17" i="2"/>
  <c r="K223" i="2"/>
  <c r="K176" i="2"/>
  <c r="K150" i="2"/>
  <c r="K88" i="2"/>
  <c r="K49" i="2"/>
  <c r="K9" i="2"/>
  <c r="K251" i="2"/>
  <c r="K215" i="2"/>
  <c r="K188" i="2"/>
  <c r="K175" i="2"/>
  <c r="K162" i="2"/>
  <c r="K149" i="2"/>
  <c r="K105" i="2"/>
  <c r="K86" i="2"/>
  <c r="K62" i="2"/>
  <c r="K48" i="2"/>
  <c r="K29" i="2"/>
  <c r="K8" i="2"/>
  <c r="K250" i="2"/>
  <c r="K214" i="2"/>
  <c r="K187" i="2"/>
  <c r="K174" i="2"/>
  <c r="K161" i="2"/>
  <c r="K148" i="2"/>
  <c r="K98" i="2"/>
  <c r="K85" i="2"/>
  <c r="K61" i="2"/>
  <c r="K47" i="2"/>
  <c r="K26" i="2"/>
  <c r="K7" i="2"/>
  <c r="K192" i="2"/>
  <c r="K153" i="2"/>
  <c r="K91" i="2"/>
  <c r="K33" i="2"/>
  <c r="K228" i="2"/>
  <c r="K178" i="2"/>
  <c r="K108" i="2"/>
  <c r="K71" i="2"/>
  <c r="K18" i="2"/>
  <c r="K227" i="2"/>
  <c r="K190" i="2"/>
  <c r="K151" i="2"/>
  <c r="K89" i="2"/>
  <c r="K31" i="2"/>
  <c r="K252" i="2"/>
  <c r="K189" i="2"/>
  <c r="K163" i="2"/>
  <c r="K106" i="2"/>
  <c r="K69" i="2"/>
  <c r="K30" i="2"/>
  <c r="K249" i="2"/>
  <c r="K213" i="2"/>
  <c r="K186" i="2"/>
  <c r="K173" i="2"/>
  <c r="K160" i="2"/>
  <c r="K122" i="2"/>
  <c r="K97" i="2"/>
  <c r="K84" i="2"/>
  <c r="K60" i="2"/>
  <c r="K46" i="2"/>
  <c r="K25" i="2"/>
  <c r="K6" i="2"/>
  <c r="K242" i="2"/>
  <c r="K212" i="2"/>
  <c r="K185" i="2"/>
  <c r="K172" i="2"/>
  <c r="K158" i="2"/>
  <c r="K118" i="2"/>
  <c r="K96" i="2"/>
  <c r="K78" i="2"/>
  <c r="K59" i="2"/>
  <c r="K45" i="2"/>
  <c r="K24" i="2"/>
  <c r="K5" i="2"/>
  <c r="K230" i="2"/>
  <c r="K14" i="2"/>
  <c r="K229" i="2"/>
  <c r="K121" i="2"/>
  <c r="K13" i="2"/>
  <c r="K216" i="2"/>
  <c r="K36" i="2"/>
  <c r="K83" i="2"/>
  <c r="K11" i="2"/>
  <c r="K82" i="2"/>
  <c r="K10" i="2"/>
  <c r="K81" i="2"/>
  <c r="K224" i="2"/>
  <c r="K116" i="2"/>
  <c r="K80" i="2"/>
  <c r="K103" i="2"/>
  <c r="K67" i="2"/>
  <c r="K102" i="2"/>
  <c r="K245" i="2"/>
  <c r="K221" i="2"/>
  <c r="K101" i="2"/>
  <c r="K244" i="2"/>
  <c r="K64" i="2"/>
  <c r="K52" i="2"/>
  <c r="K40" i="2"/>
  <c r="K28" i="2"/>
  <c r="K16" i="2"/>
  <c r="K4" i="2"/>
  <c r="K218" i="2"/>
  <c r="K38" i="2"/>
  <c r="K241" i="2"/>
  <c r="K217" i="2"/>
  <c r="K37" i="2"/>
  <c r="K240" i="2"/>
  <c r="K120" i="2"/>
  <c r="K12" i="2"/>
  <c r="K239" i="2"/>
  <c r="K119" i="2"/>
  <c r="K35" i="2"/>
  <c r="K226" i="2"/>
  <c r="K34" i="2"/>
  <c r="K225" i="2"/>
  <c r="K117" i="2"/>
  <c r="K104" i="2"/>
  <c r="K68" i="2"/>
  <c r="K115" i="2"/>
  <c r="K79" i="2"/>
  <c r="K222" i="2"/>
  <c r="K66" i="2"/>
  <c r="K65" i="2"/>
  <c r="K220" i="2"/>
  <c r="K100" i="2"/>
  <c r="K243" i="2"/>
  <c r="K219" i="2"/>
  <c r="K207" i="2"/>
  <c r="K183" i="2"/>
  <c r="K171" i="2"/>
  <c r="K159" i="2"/>
  <c r="K111" i="2"/>
  <c r="K99" i="2"/>
  <c r="K87" i="2"/>
  <c r="K75" i="2"/>
  <c r="K63" i="2"/>
  <c r="K51" i="2"/>
  <c r="K39" i="2"/>
  <c r="K27" i="2"/>
  <c r="D28" i="5"/>
  <c r="C26" i="5"/>
  <c r="C27" i="5"/>
  <c r="D28" i="6"/>
  <c r="C28" i="6"/>
  <c r="C10" i="5"/>
  <c r="C28" i="5" l="1"/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" i="2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5" i="4"/>
  <c r="F9" i="3"/>
  <c r="G1" i="3" a="1"/>
  <c r="G1" i="3" s="1"/>
  <c r="F1" i="4" a="1"/>
  <c r="F1" i="4" s="1"/>
  <c r="F6" i="4" s="1"/>
  <c r="E15" i="6"/>
  <c r="D7" i="6"/>
  <c r="D7" i="5" s="1"/>
  <c r="D8" i="6"/>
  <c r="D8" i="5" s="1"/>
  <c r="D9" i="6"/>
  <c r="D9" i="5" s="1"/>
  <c r="D6" i="6"/>
  <c r="D6" i="5" s="1"/>
  <c r="C10" i="6"/>
  <c r="D10" i="6" s="1"/>
  <c r="G2" i="3" l="1"/>
  <c r="K123" i="2"/>
  <c r="K135" i="2"/>
  <c r="K147" i="2"/>
  <c r="K195" i="2"/>
  <c r="K231" i="2"/>
  <c r="K136" i="2"/>
  <c r="K125" i="2"/>
  <c r="K197" i="2"/>
  <c r="K233" i="2"/>
  <c r="K126" i="2"/>
  <c r="K199" i="2"/>
  <c r="K128" i="2"/>
  <c r="K200" i="2"/>
  <c r="K248" i="2"/>
  <c r="K141" i="2"/>
  <c r="K130" i="2"/>
  <c r="K202" i="2"/>
  <c r="K143" i="2"/>
  <c r="K204" i="2"/>
  <c r="K133" i="2"/>
  <c r="K145" i="2"/>
  <c r="K205" i="2"/>
  <c r="K146" i="2"/>
  <c r="K194" i="2"/>
  <c r="K124" i="2"/>
  <c r="K196" i="2"/>
  <c r="K232" i="2"/>
  <c r="K137" i="2"/>
  <c r="K138" i="2"/>
  <c r="K198" i="2"/>
  <c r="K246" i="2"/>
  <c r="K127" i="2"/>
  <c r="K139" i="2"/>
  <c r="K247" i="2"/>
  <c r="K140" i="2"/>
  <c r="K129" i="2"/>
  <c r="K201" i="2"/>
  <c r="K142" i="2"/>
  <c r="K131" i="2"/>
  <c r="K203" i="2"/>
  <c r="K132" i="2"/>
  <c r="K144" i="2"/>
  <c r="K193" i="2"/>
  <c r="K134" i="2"/>
  <c r="K206" i="2"/>
  <c r="D10" i="5"/>
  <c r="F74" i="4"/>
  <c r="F50" i="4"/>
  <c r="F86" i="4"/>
  <c r="F85" i="4"/>
  <c r="F64" i="4"/>
  <c r="F45" i="4"/>
  <c r="F25" i="4"/>
  <c r="F13" i="4"/>
  <c r="F89" i="4"/>
  <c r="F10" i="4"/>
  <c r="F70" i="4"/>
  <c r="F27" i="4"/>
  <c r="F84" i="4"/>
  <c r="F63" i="4"/>
  <c r="F62" i="4"/>
  <c r="F98" i="4"/>
  <c r="F81" i="4"/>
  <c r="F61" i="4"/>
  <c r="F39" i="4"/>
  <c r="F17" i="4"/>
  <c r="F93" i="4"/>
  <c r="F5" i="4"/>
  <c r="F29" i="4"/>
  <c r="F9" i="4"/>
  <c r="F87" i="4"/>
  <c r="F65" i="4"/>
  <c r="F99" i="4"/>
  <c r="F38" i="4"/>
  <c r="F16" i="4"/>
  <c r="F52" i="4"/>
  <c r="F73" i="4"/>
  <c r="F28" i="4"/>
  <c r="F49" i="4"/>
  <c r="F26" i="4"/>
  <c r="F22" i="4"/>
  <c r="F40" i="4"/>
  <c r="F97" i="4"/>
  <c r="F77" i="4"/>
  <c r="F58" i="4"/>
  <c r="F96" i="4"/>
  <c r="F76" i="4"/>
  <c r="F57" i="4"/>
  <c r="F37" i="4"/>
  <c r="F15" i="4"/>
  <c r="F33" i="4"/>
  <c r="F51" i="4"/>
  <c r="F88" i="4"/>
  <c r="F69" i="4"/>
  <c r="F46" i="4"/>
  <c r="F41" i="4"/>
  <c r="F82" i="4"/>
  <c r="F21" i="4"/>
  <c r="F94" i="4"/>
  <c r="F75" i="4"/>
  <c r="F53" i="4"/>
  <c r="F34" i="4"/>
  <c r="F14" i="4"/>
  <c r="F72" i="4"/>
  <c r="F60" i="4"/>
  <c r="F48" i="4"/>
  <c r="F36" i="4"/>
  <c r="F24" i="4"/>
  <c r="F12" i="4"/>
  <c r="F95" i="4"/>
  <c r="F83" i="4"/>
  <c r="F71" i="4"/>
  <c r="F59" i="4"/>
  <c r="F47" i="4"/>
  <c r="F35" i="4"/>
  <c r="F23" i="4"/>
  <c r="F11" i="4"/>
  <c r="F20" i="4"/>
  <c r="F8" i="4"/>
  <c r="F92" i="4"/>
  <c r="F80" i="4"/>
  <c r="F68" i="4"/>
  <c r="F56" i="4"/>
  <c r="F44" i="4"/>
  <c r="F32" i="4"/>
  <c r="F91" i="4"/>
  <c r="F79" i="4"/>
  <c r="F67" i="4"/>
  <c r="F55" i="4"/>
  <c r="F43" i="4"/>
  <c r="F31" i="4"/>
  <c r="F19" i="4"/>
  <c r="F7" i="4"/>
  <c r="F90" i="4"/>
  <c r="F78" i="4"/>
  <c r="F66" i="4"/>
  <c r="F54" i="4"/>
  <c r="F42" i="4"/>
  <c r="F30" i="4"/>
  <c r="F18" i="4"/>
  <c r="F4" i="3" l="1"/>
  <c r="F6" i="3"/>
  <c r="F5" i="3"/>
  <c r="E26" i="5"/>
  <c r="F26" i="5" s="1"/>
  <c r="D17" i="5" l="1"/>
  <c r="E18" i="5"/>
  <c r="D7" i="7"/>
  <c r="D5" i="7"/>
  <c r="D6" i="7"/>
  <c r="E7" i="5"/>
  <c r="F7" i="5" s="1"/>
  <c r="G7" i="5" s="1"/>
  <c r="H7" i="5" s="1"/>
  <c r="G17" i="5" s="1"/>
  <c r="D16" i="5"/>
  <c r="E16" i="5"/>
  <c r="E8" i="5"/>
  <c r="F8" i="5" s="1"/>
  <c r="G8" i="5" s="1"/>
  <c r="H8" i="5" s="1"/>
  <c r="G18" i="5" s="1"/>
  <c r="H18" i="5" s="1"/>
  <c r="E6" i="5"/>
  <c r="F6" i="5" s="1"/>
  <c r="G6" i="5" s="1"/>
  <c r="H6" i="5" s="1"/>
  <c r="G16" i="5" s="1"/>
  <c r="H16" i="5" s="1"/>
  <c r="G47" i="3"/>
  <c r="G59" i="3"/>
  <c r="G50" i="3"/>
  <c r="G63" i="3"/>
  <c r="G52" i="3"/>
  <c r="G53" i="3"/>
  <c r="G54" i="3"/>
  <c r="G43" i="3"/>
  <c r="G67" i="3"/>
  <c r="G57" i="3"/>
  <c r="G49" i="3"/>
  <c r="G61" i="3"/>
  <c r="G62" i="3"/>
  <c r="G51" i="3"/>
  <c r="G40" i="3"/>
  <c r="G64" i="3"/>
  <c r="G41" i="3"/>
  <c r="G65" i="3"/>
  <c r="G42" i="3"/>
  <c r="G66" i="3"/>
  <c r="G55" i="3"/>
  <c r="G44" i="3"/>
  <c r="G56" i="3"/>
  <c r="G45" i="3"/>
  <c r="G58" i="3"/>
  <c r="G46" i="3"/>
  <c r="G60" i="3"/>
  <c r="G48" i="3"/>
  <c r="C17" i="5"/>
  <c r="G71" i="3"/>
  <c r="G83" i="3"/>
  <c r="G95" i="3"/>
  <c r="G107" i="3"/>
  <c r="G119" i="3"/>
  <c r="G109" i="3"/>
  <c r="G74" i="3"/>
  <c r="G86" i="3"/>
  <c r="G110" i="3"/>
  <c r="G99" i="3"/>
  <c r="G123" i="3"/>
  <c r="G88" i="3"/>
  <c r="G112" i="3"/>
  <c r="G124" i="3"/>
  <c r="G77" i="3"/>
  <c r="G101" i="3"/>
  <c r="G125" i="3"/>
  <c r="G78" i="3"/>
  <c r="G102" i="3"/>
  <c r="G91" i="3"/>
  <c r="G115" i="3"/>
  <c r="G128" i="3"/>
  <c r="G69" i="3"/>
  <c r="G93" i="3"/>
  <c r="G105" i="3"/>
  <c r="G73" i="3"/>
  <c r="G85" i="3"/>
  <c r="G97" i="3"/>
  <c r="G121" i="3"/>
  <c r="G98" i="3"/>
  <c r="G122" i="3"/>
  <c r="G75" i="3"/>
  <c r="G87" i="3"/>
  <c r="G111" i="3"/>
  <c r="G76" i="3"/>
  <c r="G100" i="3"/>
  <c r="G89" i="3"/>
  <c r="G113" i="3"/>
  <c r="G90" i="3"/>
  <c r="G114" i="3"/>
  <c r="G126" i="3"/>
  <c r="G79" i="3"/>
  <c r="G103" i="3"/>
  <c r="G127" i="3"/>
  <c r="G68" i="3"/>
  <c r="G80" i="3"/>
  <c r="G92" i="3"/>
  <c r="G104" i="3"/>
  <c r="G116" i="3"/>
  <c r="G81" i="3"/>
  <c r="G117" i="3"/>
  <c r="G120" i="3"/>
  <c r="G94" i="3"/>
  <c r="G108" i="3"/>
  <c r="G82" i="3"/>
  <c r="G96" i="3"/>
  <c r="G70" i="3"/>
  <c r="G84" i="3"/>
  <c r="G72" i="3"/>
  <c r="G118" i="3"/>
  <c r="G106" i="3"/>
  <c r="G9" i="3"/>
  <c r="G11" i="3"/>
  <c r="G23" i="3"/>
  <c r="G35" i="3"/>
  <c r="G26" i="3"/>
  <c r="G15" i="3"/>
  <c r="G39" i="3"/>
  <c r="G16" i="3"/>
  <c r="G29" i="3"/>
  <c r="G30" i="3"/>
  <c r="G19" i="3"/>
  <c r="G33" i="3"/>
  <c r="G13" i="3"/>
  <c r="G25" i="3"/>
  <c r="G37" i="3"/>
  <c r="G14" i="3"/>
  <c r="G38" i="3"/>
  <c r="G27" i="3"/>
  <c r="G28" i="3"/>
  <c r="G17" i="3"/>
  <c r="G18" i="3"/>
  <c r="G31" i="3"/>
  <c r="G20" i="3"/>
  <c r="G32" i="3"/>
  <c r="G21" i="3"/>
  <c r="G34" i="3"/>
  <c r="G22" i="3"/>
  <c r="G36" i="3"/>
  <c r="G10" i="3"/>
  <c r="G24" i="3"/>
  <c r="G12" i="3"/>
  <c r="C16" i="5"/>
  <c r="E17" i="5"/>
  <c r="D18" i="5"/>
  <c r="F18" i="5"/>
  <c r="C19" i="5"/>
  <c r="D19" i="5"/>
  <c r="E19" i="5"/>
  <c r="F16" i="5"/>
  <c r="F17" i="5"/>
  <c r="C18" i="5"/>
  <c r="G26" i="5"/>
  <c r="H26" i="5" s="1"/>
  <c r="H17" i="5" l="1"/>
  <c r="D20" i="5"/>
  <c r="E20" i="5"/>
  <c r="C20" i="5"/>
  <c r="E9" i="5"/>
  <c r="F19" i="5"/>
  <c r="F20" i="5" s="1"/>
  <c r="E8" i="7"/>
  <c r="E27" i="5"/>
  <c r="F9" i="5" l="1"/>
  <c r="E10" i="5"/>
  <c r="F27" i="5"/>
  <c r="E28" i="5"/>
  <c r="G27" i="5" l="1"/>
  <c r="H27" i="5" s="1"/>
  <c r="F28" i="5"/>
  <c r="G28" i="5" s="1"/>
  <c r="G9" i="5"/>
  <c r="H9" i="5" s="1"/>
  <c r="G19" i="5" s="1"/>
  <c r="H19" i="5" s="1"/>
  <c r="F10" i="5"/>
  <c r="G10" i="5" s="1"/>
  <c r="H10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<sst xmlns="http://schemas.openxmlformats.org/spreadsheetml/2006/main" count="1526" uniqueCount="89">
  <si>
    <t>WorkItemId</t>
  </si>
  <si>
    <t>Project</t>
  </si>
  <si>
    <t>Resource</t>
  </si>
  <si>
    <t>Product</t>
  </si>
  <si>
    <t>WorkDate</t>
  </si>
  <si>
    <t>ActualTime</t>
  </si>
  <si>
    <t>ActivityDesc</t>
  </si>
  <si>
    <t>Comments</t>
  </si>
  <si>
    <t>IT portfolio - Human Health Revamp</t>
  </si>
  <si>
    <t>Sandra</t>
  </si>
  <si>
    <t>Implementation</t>
  </si>
  <si>
    <t>Mobile App</t>
  </si>
  <si>
    <t>Integration API</t>
  </si>
  <si>
    <t>Design</t>
  </si>
  <si>
    <t>Reports</t>
  </si>
  <si>
    <t>PR-ITNS</t>
  </si>
  <si>
    <t>Maintenance</t>
  </si>
  <si>
    <t>David</t>
  </si>
  <si>
    <t>Testing</t>
  </si>
  <si>
    <t>Frank</t>
  </si>
  <si>
    <t>Raj</t>
  </si>
  <si>
    <t>Role</t>
  </si>
  <si>
    <t>Senior Developer</t>
  </si>
  <si>
    <t>Hours</t>
  </si>
  <si>
    <t>Billing for project</t>
  </si>
  <si>
    <t>Activity</t>
  </si>
  <si>
    <t>PO1432/ IT portfolio - Human Health Revamp</t>
  </si>
  <si>
    <t>PO1432/ IT portfolio for Nutrition stream</t>
  </si>
  <si>
    <t>PO1435/ IT portfolio - Human Health Revamp</t>
  </si>
  <si>
    <t>IT portfolio for Nutrition stream</t>
  </si>
  <si>
    <t>Sara</t>
  </si>
  <si>
    <t>Developer</t>
  </si>
  <si>
    <t>IT portfolio - Human Health Revamp/ PO234</t>
  </si>
  <si>
    <t>PO983 - IT portfolio for Nutrition stream</t>
  </si>
  <si>
    <t>PO983 - IT portfolio - Human Health Revamp</t>
  </si>
  <si>
    <t>Division of Human Health</t>
  </si>
  <si>
    <t>Last update:</t>
  </si>
  <si>
    <t>Vendor</t>
  </si>
  <si>
    <t>STS</t>
  </si>
  <si>
    <t>RTA</t>
  </si>
  <si>
    <t>Vendor rates (2026)</t>
  </si>
  <si>
    <t>Total</t>
  </si>
  <si>
    <t>Annual Planned Budget (USD)</t>
  </si>
  <si>
    <t>Quarterly Planned Budget (USD)</t>
  </si>
  <si>
    <t>Products in Portfolio</t>
  </si>
  <si>
    <t>Internal Team rates</t>
  </si>
  <si>
    <t>Daily rate (USD per day)</t>
  </si>
  <si>
    <t>Hourly rate (USD per hour)</t>
  </si>
  <si>
    <t>Date</t>
  </si>
  <si>
    <t>Include</t>
  </si>
  <si>
    <t>Portfolio:</t>
  </si>
  <si>
    <t>Hourly rate (USD)</t>
  </si>
  <si>
    <t>Reporting Period</t>
  </si>
  <si>
    <t>Q1</t>
  </si>
  <si>
    <t>Begin Date</t>
  </si>
  <si>
    <t>End Date</t>
  </si>
  <si>
    <t>2026 Rate</t>
  </si>
  <si>
    <t>Cost (USD)</t>
  </si>
  <si>
    <t>USD per hour</t>
  </si>
  <si>
    <t>Product2</t>
  </si>
  <si>
    <t xml:space="preserve">IT portfolio - Human Health Revamp </t>
  </si>
  <si>
    <t>Reporting period</t>
  </si>
  <si>
    <t>Q1 2026</t>
  </si>
  <si>
    <t>Q1 Planned Budget (USD)</t>
  </si>
  <si>
    <t>Total (Portfolio)</t>
  </si>
  <si>
    <t xml:space="preserve">2026 Annual Planned Budget (USD) </t>
  </si>
  <si>
    <t>Variance</t>
  </si>
  <si>
    <t>Budget utilization status</t>
  </si>
  <si>
    <t>Budget utilization by Activity</t>
  </si>
  <si>
    <t>Q1 Actual costs  (USD)</t>
  </si>
  <si>
    <t>Activity wise Actual budget utilization (USD)</t>
  </si>
  <si>
    <t>Product Budget utilization status</t>
  </si>
  <si>
    <t>Root Cause for positive variance (Activities with actual budget utilization)</t>
  </si>
  <si>
    <t>Vendor Performance analysis</t>
  </si>
  <si>
    <t>Type</t>
  </si>
  <si>
    <t>Internal Team</t>
  </si>
  <si>
    <t>Standard Developer rate</t>
  </si>
  <si>
    <t>Design rate (2026)</t>
  </si>
  <si>
    <t>USD per hour (if hours billed per month greater than 50)</t>
  </si>
  <si>
    <t>Hours billed</t>
  </si>
  <si>
    <t>Rate</t>
  </si>
  <si>
    <t>Month</t>
  </si>
  <si>
    <t>Month number</t>
  </si>
  <si>
    <t>Division of Human Health - Development projects</t>
  </si>
  <si>
    <t>Percentage variation (%)</t>
  </si>
  <si>
    <t>Q1 Actual Budget Utilization - Internal team (USD)</t>
  </si>
  <si>
    <t>Q1 Actual Budget Utilization - Vendors  (USD)</t>
  </si>
  <si>
    <t>Q1 Actual Budget Utilization  (USD)</t>
  </si>
  <si>
    <t>Total (All vendors)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</si>
</sst>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rgb="FF0070C0"/>
      <name val="Aptos Narrow"/>
      <family val="2"/>
    </font>
    <font>
      <sz val="11"/>
      <color rgb="FF006EC0"/>
      <name val="Aptos Narrow"/>
      <family val="2"/>
    </font>
    <font>
      <b/>
      <sz val="11"/>
      <color rgb="FF006EC0"/>
      <name val="Aptos Narrow"/>
      <family val="2"/>
    </font>
    <font>
      <b/>
      <sz val="11"/>
      <color rgb="FF006EC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wrapText="1"/>
    </xf>
    <xf numFmtId="0" fontId="0" fillId="0" borderId="3" xfId="0" applyBorder="1"/>
    <xf numFmtId="0" fontId="1" fillId="2" borderId="2" xfId="0" applyFont="1" applyFill="1" applyBorder="1"/>
    <xf numFmtId="0" fontId="1" fillId="0" borderId="0" xfId="0" applyFont="1"/>
    <xf numFmtId="0" fontId="1" fillId="0" borderId="0" xfId="0" applyFont="1" applyAlignment="1">
      <alignment wrapText="1"/>
    </xf>
    <xf numFmtId="0" fontId="1" fillId="0" borderId="3" xfId="0" applyFont="1" applyBorder="1"/>
    <xf numFmtId="3" fontId="1" fillId="0" borderId="0" xfId="0" applyNumberFormat="1" applyFont="1"/>
    <xf numFmtId="3" fontId="1" fillId="0" borderId="0" xfId="0" applyNumberFormat="1" applyFont="1" applyAlignment="1">
      <alignment wrapText="1"/>
    </xf>
    <xf numFmtId="3" fontId="1" fillId="0" borderId="3" xfId="0" applyNumberFormat="1" applyFont="1" applyBorder="1"/>
    <xf numFmtId="3" fontId="1" fillId="0" borderId="3" xfId="0" applyNumberFormat="1" applyFont="1" applyBorder="1" applyAlignment="1">
      <alignment wrapText="1"/>
    </xf>
    <xf numFmtId="0" fontId="3" fillId="0" borderId="0" xfId="0" applyFont="1"/>
    <xf numFmtId="0" fontId="1" fillId="3" borderId="0" xfId="0" applyFont="1" applyFill="1"/>
    <xf numFmtId="0" fontId="1" fillId="3" borderId="0" xfId="0" applyFont="1" applyFill="1" applyAlignment="1">
      <alignment horizontal="right"/>
    </xf>
    <xf numFmtId="0" fontId="1" fillId="3" borderId="0" xfId="0" applyFont="1" applyFill="1" applyAlignment="1">
      <alignment horizontal="right" wrapText="1"/>
    </xf>
    <xf numFmtId="0" fontId="1" fillId="3" borderId="0" xfId="0" applyFont="1" applyFill="1" applyAlignment="1">
      <alignment horizontal="left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right"/>
    </xf>
    <xf numFmtId="0" fontId="1" fillId="4" borderId="2" xfId="0" applyFont="1" applyFill="1" applyBorder="1"/>
    <xf numFmtId="0" fontId="1" fillId="4" borderId="2" xfId="0" applyFont="1" applyFill="1" applyBorder="1" applyAlignment="1">
      <alignment wrapText="1"/>
    </xf>
    <xf numFmtId="15" fontId="1" fillId="4" borderId="2" xfId="0" applyNumberFormat="1" applyFont="1" applyFill="1" applyBorder="1"/>
    <xf numFmtId="16" fontId="1" fillId="0" borderId="0" xfId="0" applyNumberFormat="1" applyFont="1"/>
    <xf numFmtId="15" fontId="1" fillId="0" borderId="0" xfId="0" applyNumberFormat="1" applyFont="1"/>
    <xf numFmtId="0" fontId="1" fillId="2" borderId="0" xfId="0" applyFont="1" applyFill="1"/>
    <xf numFmtId="0" fontId="1" fillId="3" borderId="2" xfId="0" applyFont="1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  <xf numFmtId="0" fontId="1" fillId="0" borderId="1" xfId="0" applyFont="1" applyBorder="1"/>
    <xf numFmtId="15" fontId="1" fillId="0" borderId="1" xfId="0" applyNumberFormat="1" applyFont="1" applyBorder="1"/>
    <xf numFmtId="0" fontId="2" fillId="4" borderId="2" xfId="0" applyFont="1" applyFill="1" applyBorder="1"/>
    <xf numFmtId="0" fontId="4" fillId="4" borderId="2" xfId="0" applyFont="1" applyFill="1" applyBorder="1"/>
    <xf numFmtId="0" fontId="5" fillId="4" borderId="2" xfId="0" applyFont="1" applyFill="1" applyBorder="1"/>
    <xf numFmtId="0" fontId="4" fillId="4" borderId="2" xfId="0" applyFont="1" applyFill="1" applyBorder="1" applyAlignment="1">
      <alignment horizontal="right"/>
    </xf>
    <xf numFmtId="15" fontId="4" fillId="4" borderId="2" xfId="0" applyNumberFormat="1" applyFont="1" applyFill="1" applyBorder="1"/>
    <xf numFmtId="0" fontId="6" fillId="0" borderId="0" xfId="0" applyFont="1"/>
    <xf numFmtId="0" fontId="0" fillId="3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5" borderId="0" xfId="0" applyFill="1"/>
    <xf numFmtId="3" fontId="0" fillId="0" borderId="0" xfId="0" applyNumberFormat="1"/>
    <xf numFmtId="3" fontId="0" fillId="0" borderId="3" xfId="0" applyNumberFormat="1" applyBorder="1"/>
    <xf numFmtId="49" fontId="1" fillId="0" borderId="0" xfId="0" applyNumberFormat="1" applyFont="1"/>
    <xf numFmtId="49" fontId="1" fillId="2" borderId="0" xfId="0" applyNumberFormat="1" applyFont="1" applyFill="1" applyAlignment="1">
      <alignment horizontal="right"/>
    </xf>
    <xf numFmtId="164" fontId="0" fillId="0" borderId="0" xfId="0" applyNumberFormat="1"/>
    <xf numFmtId="0" fontId="4" fillId="4" borderId="2" xfId="0" applyFont="1" applyFill="1" applyBorder="1" applyAlignment="1">
      <alignment horizontal="right" wrapText="1"/>
    </xf>
    <xf numFmtId="0" fontId="0" fillId="0" borderId="3" xfId="0" applyBorder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9" fillId="0" borderId="3" xfId="0" applyFont="1" applyBorder="1"/>
  </cellXfs>
  <cellStyles count="1">
    <cellStyle name="Normal" xfId="0" builtinId="0"/>
  </cellStyles>
  <dxfs count="5"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</dxfs>
  <tableStyles count="0" defaultTableStyle="TableStyleMedium2" defaultPivotStyle="PivotStyleLight16"/>
  <colors>
    <mruColors>
      <color rgb="FF006E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r>
              <a:rPr lang="en-US" sz="1600" b="0" i="0" u="none" strike="noStrike" baseline="0">
                <a:effectLst/>
              </a:rPr>
              <a:t>Planned vs Actual budget utilization by Product, Q1 2026 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336190105181146"/>
          <c:y val="0.11359963897793408"/>
          <c:w val="0.83229326054244013"/>
          <c:h val="0.716474432790762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Chart!$C$4</c:f>
              <c:strCache>
                <c:ptCount val="1"/>
                <c:pt idx="0">
                  <c:v>Q1 Planned Budget (USD)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4.2628769653150029E-3"/>
                  <c:y val="-4.1290814296281058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7D5-40C1-AC63-054272041B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Chart!$B$5:$B$8</c:f>
              <c:strCache>
                <c:ptCount val="4"/>
                <c:pt idx="0">
                  <c:v>Reports</c:v>
                </c:pt>
                <c:pt idx="1">
                  <c:v>Mobile App</c:v>
                </c:pt>
                <c:pt idx="2">
                  <c:v>Integration API</c:v>
                </c:pt>
                <c:pt idx="3">
                  <c:v>Maintenance</c:v>
                </c:pt>
              </c:strCache>
            </c:strRef>
          </c:cat>
          <c:val>
            <c:numRef>
              <c:f>Chart!$C$5:$C$8</c:f>
              <c:numCache>
                <c:formatCode>#,##0</c:formatCode>
                <c:ptCount val="4"/>
                <c:pt idx="0">
                  <c:v>22500</c:v>
                </c:pt>
                <c:pt idx="1">
                  <c:v>30000</c:v>
                </c:pt>
                <c:pt idx="2">
                  <c:v>7500</c:v>
                </c:pt>
                <c:pt idx="3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D5-40C1-AC63-054272041B46}"/>
            </c:ext>
          </c:extLst>
        </c:ser>
        <c:ser>
          <c:idx val="1"/>
          <c:order val="1"/>
          <c:tx>
            <c:strRef>
              <c:f>Chart!$D$4</c:f>
              <c:strCache>
                <c:ptCount val="1"/>
                <c:pt idx="0">
                  <c:v>Q1 Actual Budget Utilization - Internal team (USD)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1.4209589884383117E-2"/>
                  <c:y val="-4.504504504504546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7D5-40C1-AC63-054272041B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Chart!$B$5:$B$8</c:f>
              <c:strCache>
                <c:ptCount val="4"/>
                <c:pt idx="0">
                  <c:v>Reports</c:v>
                </c:pt>
                <c:pt idx="1">
                  <c:v>Mobile App</c:v>
                </c:pt>
                <c:pt idx="2">
                  <c:v>Integration API</c:v>
                </c:pt>
                <c:pt idx="3">
                  <c:v>Maintenance</c:v>
                </c:pt>
              </c:strCache>
            </c:strRef>
          </c:cat>
          <c:val>
            <c:numRef>
              <c:f>Chart!$D$5:$D$8</c:f>
              <c:numCache>
                <c:formatCode>#,##0</c:formatCode>
                <c:ptCount val="4"/>
                <c:pt idx="0">
                  <c:v>9440</c:v>
                </c:pt>
                <c:pt idx="1">
                  <c:v>30287.5</c:v>
                </c:pt>
                <c:pt idx="2">
                  <c:v>3820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D5-40C1-AC63-054272041B46}"/>
            </c:ext>
          </c:extLst>
        </c:ser>
        <c:ser>
          <c:idx val="2"/>
          <c:order val="2"/>
          <c:tx>
            <c:strRef>
              <c:f>Chart!$E$4</c:f>
              <c:strCache>
                <c:ptCount val="1"/>
                <c:pt idx="0">
                  <c:v>Q1 Actual Budget Utilization - Vendors  (USD)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Chart!$B$5:$B$8</c:f>
              <c:strCache>
                <c:ptCount val="4"/>
                <c:pt idx="0">
                  <c:v>Reports</c:v>
                </c:pt>
                <c:pt idx="1">
                  <c:v>Mobile App</c:v>
                </c:pt>
                <c:pt idx="2">
                  <c:v>Integration API</c:v>
                </c:pt>
                <c:pt idx="3">
                  <c:v>Maintenance</c:v>
                </c:pt>
              </c:strCache>
            </c:strRef>
          </c:cat>
          <c:val>
            <c:numRef>
              <c:f>Chart!$E$5:$E$8</c:f>
              <c:numCache>
                <c:formatCode>#,##0</c:formatCode>
                <c:ptCount val="4"/>
                <c:pt idx="3">
                  <c:v>39285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D5-40C1-AC63-054272041B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6184624"/>
        <c:axId val="566181264"/>
      </c:barChart>
      <c:catAx>
        <c:axId val="566184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566181264"/>
        <c:crosses val="autoZero"/>
        <c:auto val="1"/>
        <c:lblAlgn val="ctr"/>
        <c:lblOffset val="100"/>
        <c:noMultiLvlLbl val="0"/>
      </c:catAx>
      <c:valAx>
        <c:axId val="56618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Budget (USD)</a:t>
                </a:r>
              </a:p>
            </c:rich>
          </c:tx>
          <c:layout>
            <c:manualLayout>
              <c:xMode val="edge"/>
              <c:yMode val="edge"/>
              <c:x val="6.1647090705661204E-4"/>
              <c:y val="0.312062140881038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Aptos Narrow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566184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solidFill>
            <a:schemeClr val="tx1"/>
          </a:solidFill>
          <a:latin typeface="Aptos Narrow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574674</xdr:colOff>
      <xdr:row>10</xdr:row>
      <xdr:rowOff>171450</xdr:rowOff>
    </xdr:from>
    <xdr:to>
      <xdr:col>12</xdr:col>
      <xdr:colOff>438150</xdr:colOff>
      <xdr:row>29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7A0341-EC67-46E4-9F0A-BC338D0A2A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F6D3E-EC1E-44BE-96A4-FD8F0A875938}">
  <sheetPr>
    <tabColor theme="4" tint="0.79998168889431442"/>
  </sheetPr>
  <dimension ref="A1:I28"/>
  <sheetViews>
    <sheetView tabSelected="1" workbookViewId="0">
      <selection activeCell="C15" sqref="C15"/>
    </sheetView>
  </sheetViews>
  <sheetFormatPr baseColWidth="10" defaultColWidth="8.6640625" defaultRowHeight="15" x14ac:dyDescent="0.2"/>
  <cols>
    <col min="1" max="1" width="14.83203125" style="4" customWidth="1"/>
    <col min="2" max="2" width="27.33203125" style="4" customWidth="1"/>
    <col min="3" max="3" width="25.83203125" style="4" customWidth="1"/>
    <col min="4" max="4" width="25.1640625" style="5" customWidth="1"/>
    <col min="5" max="6" width="12.6640625" style="4" customWidth="1"/>
    <col min="7" max="7" width="18.6640625" style="4" customWidth="1"/>
    <col min="8" max="8" width="16.6640625" style="4" customWidth="1"/>
    <col min="9" max="9" width="16.5" style="4" customWidth="1"/>
    <col min="10" max="16384" width="8.6640625" style="4"/>
  </cols>
  <sheetData>
    <row r="1" spans="1:9" s="18" customFormat="1" x14ac:dyDescent="0.2">
      <c r="A1" s="18" t="s">
        <v>35</v>
      </c>
      <c r="C1" s="29" t="s">
        <v>60</v>
      </c>
      <c r="D1" s="19"/>
      <c r="E1" s="18" t="s">
        <v>36</v>
      </c>
      <c r="G1" s="20">
        <v>46117</v>
      </c>
    </row>
    <row r="3" spans="1:9" x14ac:dyDescent="0.2">
      <c r="A3" s="17" t="s">
        <v>50</v>
      </c>
      <c r="B3" s="11" t="s">
        <v>8</v>
      </c>
    </row>
    <row r="5" spans="1:9" ht="16" x14ac:dyDescent="0.2">
      <c r="B5" s="12" t="s">
        <v>44</v>
      </c>
      <c r="C5" s="13" t="s">
        <v>42</v>
      </c>
      <c r="D5" s="14" t="s">
        <v>43</v>
      </c>
      <c r="G5" s="12" t="s">
        <v>52</v>
      </c>
      <c r="H5" s="12" t="s">
        <v>54</v>
      </c>
      <c r="I5" s="12" t="s">
        <v>55</v>
      </c>
    </row>
    <row r="6" spans="1:9" x14ac:dyDescent="0.2">
      <c r="B6" s="4" t="s">
        <v>14</v>
      </c>
      <c r="C6" s="7">
        <v>90000</v>
      </c>
      <c r="D6" s="8">
        <f>ROUND(C6/4,0)</f>
        <v>22500</v>
      </c>
      <c r="G6" s="4" t="s">
        <v>53</v>
      </c>
      <c r="H6" s="22">
        <v>46023</v>
      </c>
      <c r="I6" s="22">
        <v>46112</v>
      </c>
    </row>
    <row r="7" spans="1:9" x14ac:dyDescent="0.2">
      <c r="B7" s="4" t="s">
        <v>11</v>
      </c>
      <c r="C7" s="7">
        <v>120000</v>
      </c>
      <c r="D7" s="8">
        <f t="shared" ref="D7:D10" si="0">ROUND(C7/4,0)</f>
        <v>30000</v>
      </c>
    </row>
    <row r="8" spans="1:9" x14ac:dyDescent="0.2">
      <c r="B8" s="4" t="s">
        <v>12</v>
      </c>
      <c r="C8" s="7">
        <v>30000</v>
      </c>
      <c r="D8" s="8">
        <f t="shared" si="0"/>
        <v>7500</v>
      </c>
    </row>
    <row r="9" spans="1:9" x14ac:dyDescent="0.2">
      <c r="B9" s="4" t="s">
        <v>16</v>
      </c>
      <c r="C9" s="7">
        <v>80000</v>
      </c>
      <c r="D9" s="8">
        <f t="shared" si="0"/>
        <v>20000</v>
      </c>
    </row>
    <row r="10" spans="1:9" x14ac:dyDescent="0.2">
      <c r="B10" s="6" t="s">
        <v>41</v>
      </c>
      <c r="C10" s="9">
        <f>SUM(C6:C9)</f>
        <v>320000</v>
      </c>
      <c r="D10" s="10">
        <f t="shared" si="0"/>
        <v>80000</v>
      </c>
    </row>
    <row r="13" spans="1:9" ht="32" x14ac:dyDescent="0.2">
      <c r="B13" s="12" t="s">
        <v>45</v>
      </c>
      <c r="C13" s="12" t="s">
        <v>25</v>
      </c>
      <c r="D13" s="15" t="s">
        <v>46</v>
      </c>
      <c r="E13" s="14" t="s">
        <v>47</v>
      </c>
    </row>
    <row r="14" spans="1:9" x14ac:dyDescent="0.2">
      <c r="B14" s="4" t="s">
        <v>76</v>
      </c>
      <c r="C14" s="4" t="s">
        <v>10</v>
      </c>
      <c r="D14" s="17">
        <v>400</v>
      </c>
      <c r="E14" s="16">
        <f>D14/8</f>
        <v>50</v>
      </c>
      <c r="F14" s="16"/>
    </row>
    <row r="15" spans="1:9" x14ac:dyDescent="0.2">
      <c r="B15" s="4" t="s">
        <v>76</v>
      </c>
      <c r="C15" s="4" t="s">
        <v>18</v>
      </c>
      <c r="D15" s="17">
        <v>400</v>
      </c>
      <c r="E15" s="16">
        <f>D15/8</f>
        <v>50</v>
      </c>
      <c r="F15" s="16"/>
    </row>
    <row r="16" spans="1:9" x14ac:dyDescent="0.2">
      <c r="B16" s="4" t="s">
        <v>77</v>
      </c>
      <c r="C16" s="4" t="s">
        <v>13</v>
      </c>
      <c r="E16" s="4">
        <f>55</f>
        <v>55</v>
      </c>
    </row>
    <row r="18" spans="2:4" ht="16" x14ac:dyDescent="0.2">
      <c r="B18" s="12" t="s">
        <v>40</v>
      </c>
      <c r="C18" s="15" t="s">
        <v>37</v>
      </c>
      <c r="D18" s="14" t="s">
        <v>51</v>
      </c>
    </row>
    <row r="19" spans="2:4" x14ac:dyDescent="0.2">
      <c r="B19" s="4" t="s">
        <v>31</v>
      </c>
      <c r="C19" s="4" t="s">
        <v>38</v>
      </c>
      <c r="D19" s="5">
        <v>45</v>
      </c>
    </row>
    <row r="20" spans="2:4" x14ac:dyDescent="0.2">
      <c r="B20" s="4" t="s">
        <v>22</v>
      </c>
      <c r="C20" s="4" t="s">
        <v>38</v>
      </c>
      <c r="D20" s="5">
        <v>65</v>
      </c>
    </row>
    <row r="21" spans="2:4" x14ac:dyDescent="0.2">
      <c r="B21" s="4" t="s">
        <v>31</v>
      </c>
      <c r="C21" s="4" t="s">
        <v>39</v>
      </c>
      <c r="D21" s="5">
        <v>40</v>
      </c>
    </row>
    <row r="22" spans="2:4" x14ac:dyDescent="0.2">
      <c r="B22" s="4" t="s">
        <v>22</v>
      </c>
      <c r="C22" s="4" t="s">
        <v>39</v>
      </c>
      <c r="D22" s="5">
        <v>65</v>
      </c>
    </row>
    <row r="25" spans="2:4" ht="16" x14ac:dyDescent="0.2">
      <c r="B25" s="12" t="s">
        <v>37</v>
      </c>
      <c r="C25" s="14" t="s">
        <v>42</v>
      </c>
      <c r="D25" s="14" t="s">
        <v>43</v>
      </c>
    </row>
    <row r="26" spans="2:4" x14ac:dyDescent="0.2">
      <c r="B26" s="4" t="s">
        <v>38</v>
      </c>
      <c r="C26" s="7">
        <f>0.5*C9</f>
        <v>40000</v>
      </c>
      <c r="D26" s="8">
        <f t="shared" ref="D26:D27" si="1">ROUND(C26/4,0)</f>
        <v>10000</v>
      </c>
    </row>
    <row r="27" spans="2:4" x14ac:dyDescent="0.2">
      <c r="B27" s="4" t="s">
        <v>39</v>
      </c>
      <c r="C27" s="7">
        <f>0.5*C9</f>
        <v>40000</v>
      </c>
      <c r="D27" s="8">
        <f t="shared" si="1"/>
        <v>10000</v>
      </c>
    </row>
    <row r="28" spans="2:4" x14ac:dyDescent="0.2">
      <c r="B28" s="6" t="s">
        <v>41</v>
      </c>
      <c r="C28" s="9">
        <f>SUM(C26:C27)</f>
        <v>80000</v>
      </c>
      <c r="D28" s="9">
        <f>SUM(D26:D27)</f>
        <v>20000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1537F-4994-4770-984D-8B39BDE482A9}">
  <sheetPr>
    <tabColor theme="0" tint="-0.14999847407452621"/>
  </sheetPr>
  <dimension ref="A1:G124"/>
  <sheetViews>
    <sheetView workbookViewId="0">
      <selection activeCell="C110" sqref="C110"/>
    </sheetView>
  </sheetViews>
  <sheetFormatPr baseColWidth="10" defaultColWidth="8.6640625" defaultRowHeight="15" x14ac:dyDescent="0.2"/>
  <cols>
    <col min="1" max="2" width="8.6640625" style="4"/>
    <col min="3" max="3" width="40.83203125" style="4" customWidth="1"/>
    <col min="4" max="4" width="18.1640625" style="4" customWidth="1"/>
    <col min="5" max="5" width="12.33203125" style="4" customWidth="1"/>
    <col min="6" max="6" width="10" style="4" customWidth="1"/>
    <col min="7" max="16384" width="8.6640625" style="4"/>
  </cols>
  <sheetData>
    <row r="1" spans="1:7" x14ac:dyDescent="0.2">
      <c r="A1" s="17" t="s">
        <v>2</v>
      </c>
      <c r="B1" s="4" t="s">
        <v>30</v>
      </c>
      <c r="C1" s="17" t="s">
        <v>21</v>
      </c>
      <c r="D1" s="4" t="s">
        <v>31</v>
      </c>
      <c r="E1" s="17" t="s">
        <v>56</v>
      </c>
      <c r="F1" s="23" cm="1">
        <f t="array" ref="F1">_xlfn.XLOOKUP(1, (Planned!$B$19:$B$22=Vendor_STS!$D$1) * (Planned!$C$19:$C$22=Vendor_STS!$B2), Planned!$D$19:$D$22)</f>
        <v>45</v>
      </c>
      <c r="G1" s="4" t="s">
        <v>58</v>
      </c>
    </row>
    <row r="2" spans="1:7" x14ac:dyDescent="0.2">
      <c r="A2" s="17" t="s">
        <v>37</v>
      </c>
      <c r="B2" s="4" t="s">
        <v>38</v>
      </c>
    </row>
    <row r="4" spans="1:7" x14ac:dyDescent="0.2">
      <c r="A4" s="24" t="s">
        <v>48</v>
      </c>
      <c r="B4" s="24" t="s">
        <v>23</v>
      </c>
      <c r="C4" s="24" t="s">
        <v>24</v>
      </c>
      <c r="D4" s="24" t="s">
        <v>25</v>
      </c>
      <c r="E4" s="3" t="s">
        <v>49</v>
      </c>
      <c r="F4" s="3" t="s">
        <v>57</v>
      </c>
    </row>
    <row r="5" spans="1:7" x14ac:dyDescent="0.2">
      <c r="A5" s="21">
        <v>46023</v>
      </c>
      <c r="B5" s="4">
        <v>6</v>
      </c>
      <c r="C5" s="4" t="s">
        <v>32</v>
      </c>
      <c r="D5" s="4" t="s">
        <v>16</v>
      </c>
      <c r="E5" s="23" t="str">
        <f>IF(AND(IFERROR(FIND(Planned!$B$3,Vendor_STS!$C5,1),0),$A5&lt;=Planned!$I$6, $A5&gt;=Planned!$H$6), "Yes","No")</f>
        <v>Yes</v>
      </c>
      <c r="F5" s="23">
        <f>B5*$F$1</f>
        <v>270</v>
      </c>
    </row>
    <row r="6" spans="1:7" x14ac:dyDescent="0.2">
      <c r="A6" s="21">
        <v>46024</v>
      </c>
      <c r="B6" s="4">
        <v>5</v>
      </c>
      <c r="C6" s="4" t="s">
        <v>32</v>
      </c>
      <c r="D6" s="4" t="s">
        <v>16</v>
      </c>
      <c r="E6" s="23" t="str">
        <f>IF(AND(IFERROR(FIND(Planned!$B$3,Vendor_STS!$C6,1),0),$A6&lt;=Planned!$I$6, $A6&gt;=Planned!$H$6), "Yes","No")</f>
        <v>Yes</v>
      </c>
      <c r="F6" s="23">
        <f t="shared" ref="F6:F69" si="0">B6*$F$1</f>
        <v>225</v>
      </c>
    </row>
    <row r="7" spans="1:7" x14ac:dyDescent="0.2">
      <c r="A7" s="21">
        <v>46025</v>
      </c>
      <c r="B7" s="4">
        <v>6</v>
      </c>
      <c r="C7" s="4" t="s">
        <v>32</v>
      </c>
      <c r="D7" s="4" t="s">
        <v>16</v>
      </c>
      <c r="E7" s="23" t="str">
        <f>IF(AND(IFERROR(FIND(Planned!$B$3,Vendor_STS!$C7,1),0),$A7&lt;=Planned!$I$6, $A7&gt;=Planned!$H$6), "Yes","No")</f>
        <v>Yes</v>
      </c>
      <c r="F7" s="23">
        <f t="shared" si="0"/>
        <v>270</v>
      </c>
    </row>
    <row r="8" spans="1:7" x14ac:dyDescent="0.2">
      <c r="A8" s="21">
        <v>46026</v>
      </c>
      <c r="B8" s="4">
        <v>6</v>
      </c>
      <c r="C8" s="4" t="s">
        <v>32</v>
      </c>
      <c r="D8" s="4" t="s">
        <v>16</v>
      </c>
      <c r="E8" s="23" t="str">
        <f>IF(AND(IFERROR(FIND(Planned!$B$3,Vendor_STS!$C8,1),0),$A8&lt;=Planned!$I$6, $A8&gt;=Planned!$H$6), "Yes","No")</f>
        <v>Yes</v>
      </c>
      <c r="F8" s="23">
        <f t="shared" si="0"/>
        <v>270</v>
      </c>
    </row>
    <row r="9" spans="1:7" x14ac:dyDescent="0.2">
      <c r="A9" s="21">
        <v>46027</v>
      </c>
      <c r="B9" s="4">
        <v>6</v>
      </c>
      <c r="C9" s="4" t="s">
        <v>32</v>
      </c>
      <c r="D9" s="4" t="s">
        <v>16</v>
      </c>
      <c r="E9" s="23" t="str">
        <f>IF(AND(IFERROR(FIND(Planned!$B$3,Vendor_STS!$C9,1),0),$A9&lt;=Planned!$I$6, $A9&gt;=Planned!$H$6), "Yes","No")</f>
        <v>Yes</v>
      </c>
      <c r="F9" s="23">
        <f t="shared" si="0"/>
        <v>270</v>
      </c>
    </row>
    <row r="10" spans="1:7" x14ac:dyDescent="0.2">
      <c r="A10" s="21">
        <v>46028</v>
      </c>
      <c r="B10" s="4">
        <v>6</v>
      </c>
      <c r="C10" s="4" t="s">
        <v>32</v>
      </c>
      <c r="D10" s="4" t="s">
        <v>16</v>
      </c>
      <c r="E10" s="23" t="str">
        <f>IF(AND(IFERROR(FIND(Planned!$B$3,Vendor_STS!$C10,1),0),$A10&lt;=Planned!$I$6, $A10&gt;=Planned!$H$6), "Yes","No")</f>
        <v>Yes</v>
      </c>
      <c r="F10" s="23">
        <f t="shared" si="0"/>
        <v>270</v>
      </c>
    </row>
    <row r="11" spans="1:7" x14ac:dyDescent="0.2">
      <c r="A11" s="21">
        <v>46029</v>
      </c>
      <c r="B11" s="4">
        <v>6</v>
      </c>
      <c r="C11" s="4" t="s">
        <v>32</v>
      </c>
      <c r="D11" s="4" t="s">
        <v>16</v>
      </c>
      <c r="E11" s="23" t="str">
        <f>IF(AND(IFERROR(FIND(Planned!$B$3,Vendor_STS!$C11,1),0),$A11&lt;=Planned!$I$6, $A11&gt;=Planned!$H$6), "Yes","No")</f>
        <v>Yes</v>
      </c>
      <c r="F11" s="23">
        <f t="shared" si="0"/>
        <v>270</v>
      </c>
    </row>
    <row r="12" spans="1:7" x14ac:dyDescent="0.2">
      <c r="A12" s="21">
        <v>46030</v>
      </c>
      <c r="B12" s="4">
        <v>6</v>
      </c>
      <c r="C12" s="4" t="s">
        <v>32</v>
      </c>
      <c r="D12" s="4" t="s">
        <v>16</v>
      </c>
      <c r="E12" s="23" t="str">
        <f>IF(AND(IFERROR(FIND(Planned!$B$3,Vendor_STS!$C12,1),0),$A12&lt;=Planned!$I$6, $A12&gt;=Planned!$H$6), "Yes","No")</f>
        <v>Yes</v>
      </c>
      <c r="F12" s="23">
        <f t="shared" si="0"/>
        <v>270</v>
      </c>
    </row>
    <row r="13" spans="1:7" x14ac:dyDescent="0.2">
      <c r="A13" s="21">
        <v>46031</v>
      </c>
      <c r="B13" s="4">
        <v>6</v>
      </c>
      <c r="C13" s="4" t="s">
        <v>32</v>
      </c>
      <c r="D13" s="4" t="s">
        <v>16</v>
      </c>
      <c r="E13" s="23" t="str">
        <f>IF(AND(IFERROR(FIND(Planned!$B$3,Vendor_STS!$C13,1),0),$A13&lt;=Planned!$I$6, $A13&gt;=Planned!$H$6), "Yes","No")</f>
        <v>Yes</v>
      </c>
      <c r="F13" s="23">
        <f t="shared" si="0"/>
        <v>270</v>
      </c>
    </row>
    <row r="14" spans="1:7" x14ac:dyDescent="0.2">
      <c r="A14" s="21">
        <v>46032</v>
      </c>
      <c r="B14" s="4">
        <v>6</v>
      </c>
      <c r="C14" s="4" t="s">
        <v>32</v>
      </c>
      <c r="D14" s="4" t="s">
        <v>16</v>
      </c>
      <c r="E14" s="23" t="str">
        <f>IF(AND(IFERROR(FIND(Planned!$B$3,Vendor_STS!$C14,1),0),$A14&lt;=Planned!$I$6, $A14&gt;=Planned!$H$6), "Yes","No")</f>
        <v>Yes</v>
      </c>
      <c r="F14" s="23">
        <f t="shared" si="0"/>
        <v>270</v>
      </c>
    </row>
    <row r="15" spans="1:7" x14ac:dyDescent="0.2">
      <c r="A15" s="21">
        <v>46033</v>
      </c>
      <c r="B15" s="4">
        <v>6</v>
      </c>
      <c r="C15" s="4" t="s">
        <v>32</v>
      </c>
      <c r="D15" s="4" t="s">
        <v>16</v>
      </c>
      <c r="E15" s="23" t="str">
        <f>IF(AND(IFERROR(FIND(Planned!$B$3,Vendor_STS!$C15,1),0),$A15&lt;=Planned!$I$6, $A15&gt;=Planned!$H$6), "Yes","No")</f>
        <v>Yes</v>
      </c>
      <c r="F15" s="23">
        <f t="shared" si="0"/>
        <v>270</v>
      </c>
    </row>
    <row r="16" spans="1:7" x14ac:dyDescent="0.2">
      <c r="A16" s="21">
        <v>46034</v>
      </c>
      <c r="B16" s="4">
        <v>6</v>
      </c>
      <c r="C16" s="4" t="s">
        <v>32</v>
      </c>
      <c r="D16" s="4" t="s">
        <v>16</v>
      </c>
      <c r="E16" s="23" t="str">
        <f>IF(AND(IFERROR(FIND(Planned!$B$3,Vendor_STS!$C16,1),0),$A16&lt;=Planned!$I$6, $A16&gt;=Planned!$H$6), "Yes","No")</f>
        <v>Yes</v>
      </c>
      <c r="F16" s="23">
        <f t="shared" si="0"/>
        <v>270</v>
      </c>
    </row>
    <row r="17" spans="1:6" x14ac:dyDescent="0.2">
      <c r="A17" s="21">
        <v>46035</v>
      </c>
      <c r="B17" s="4">
        <v>6</v>
      </c>
      <c r="C17" s="4" t="s">
        <v>32</v>
      </c>
      <c r="D17" s="4" t="s">
        <v>16</v>
      </c>
      <c r="E17" s="23" t="str">
        <f>IF(AND(IFERROR(FIND(Planned!$B$3,Vendor_STS!$C17,1),0),$A17&lt;=Planned!$I$6, $A17&gt;=Planned!$H$6), "Yes","No")</f>
        <v>Yes</v>
      </c>
      <c r="F17" s="23">
        <f t="shared" si="0"/>
        <v>270</v>
      </c>
    </row>
    <row r="18" spans="1:6" x14ac:dyDescent="0.2">
      <c r="A18" s="21">
        <v>46036</v>
      </c>
      <c r="B18" s="4">
        <v>6</v>
      </c>
      <c r="C18" s="4" t="s">
        <v>32</v>
      </c>
      <c r="D18" s="4" t="s">
        <v>16</v>
      </c>
      <c r="E18" s="23" t="str">
        <f>IF(AND(IFERROR(FIND(Planned!$B$3,Vendor_STS!$C18,1),0),$A18&lt;=Planned!$I$6, $A18&gt;=Planned!$H$6), "Yes","No")</f>
        <v>Yes</v>
      </c>
      <c r="F18" s="23">
        <f t="shared" si="0"/>
        <v>270</v>
      </c>
    </row>
    <row r="19" spans="1:6" x14ac:dyDescent="0.2">
      <c r="A19" s="21">
        <v>46037</v>
      </c>
      <c r="B19" s="4">
        <v>6</v>
      </c>
      <c r="C19" s="4" t="s">
        <v>32</v>
      </c>
      <c r="D19" s="4" t="s">
        <v>16</v>
      </c>
      <c r="E19" s="23" t="str">
        <f>IF(AND(IFERROR(FIND(Planned!$B$3,Vendor_STS!$C19,1),0),$A19&lt;=Planned!$I$6, $A19&gt;=Planned!$H$6), "Yes","No")</f>
        <v>Yes</v>
      </c>
      <c r="F19" s="23">
        <f t="shared" si="0"/>
        <v>270</v>
      </c>
    </row>
    <row r="20" spans="1:6" x14ac:dyDescent="0.2">
      <c r="A20" s="21">
        <v>46038</v>
      </c>
      <c r="B20" s="4">
        <v>6</v>
      </c>
      <c r="C20" s="4" t="s">
        <v>32</v>
      </c>
      <c r="D20" s="4" t="s">
        <v>16</v>
      </c>
      <c r="E20" s="23" t="str">
        <f>IF(AND(IFERROR(FIND(Planned!$B$3,Vendor_STS!$C20,1),0),$A20&lt;=Planned!$I$6, $A20&gt;=Planned!$H$6), "Yes","No")</f>
        <v>Yes</v>
      </c>
      <c r="F20" s="23">
        <f t="shared" si="0"/>
        <v>270</v>
      </c>
    </row>
    <row r="21" spans="1:6" x14ac:dyDescent="0.2">
      <c r="A21" s="21">
        <v>46039</v>
      </c>
      <c r="B21" s="4">
        <v>6</v>
      </c>
      <c r="C21" s="4" t="s">
        <v>32</v>
      </c>
      <c r="D21" s="4" t="s">
        <v>16</v>
      </c>
      <c r="E21" s="23" t="str">
        <f>IF(AND(IFERROR(FIND(Planned!$B$3,Vendor_STS!$C21,1),0),$A21&lt;=Planned!$I$6, $A21&gt;=Planned!$H$6), "Yes","No")</f>
        <v>Yes</v>
      </c>
      <c r="F21" s="23">
        <f t="shared" si="0"/>
        <v>270</v>
      </c>
    </row>
    <row r="22" spans="1:6" x14ac:dyDescent="0.2">
      <c r="A22" s="21">
        <v>46040</v>
      </c>
      <c r="B22" s="4">
        <v>6</v>
      </c>
      <c r="C22" s="4" t="s">
        <v>33</v>
      </c>
      <c r="D22" s="4" t="s">
        <v>16</v>
      </c>
      <c r="E22" s="23" t="str">
        <f>IF(AND(IFERROR(FIND(Planned!$B$3,Vendor_STS!$C22,1),0),$A22&lt;=Planned!$I$6, $A22&gt;=Planned!$H$6), "Yes","No")</f>
        <v>No</v>
      </c>
      <c r="F22" s="23">
        <f t="shared" si="0"/>
        <v>270</v>
      </c>
    </row>
    <row r="23" spans="1:6" x14ac:dyDescent="0.2">
      <c r="A23" s="21">
        <v>46041</v>
      </c>
      <c r="B23" s="4">
        <v>6</v>
      </c>
      <c r="C23" s="4" t="s">
        <v>33</v>
      </c>
      <c r="D23" s="4" t="s">
        <v>16</v>
      </c>
      <c r="E23" s="23" t="str">
        <f>IF(AND(IFERROR(FIND(Planned!$B$3,Vendor_STS!$C23,1),0),$A23&lt;=Planned!$I$6, $A23&gt;=Planned!$H$6), "Yes","No")</f>
        <v>No</v>
      </c>
      <c r="F23" s="23">
        <f t="shared" si="0"/>
        <v>270</v>
      </c>
    </row>
    <row r="24" spans="1:6" x14ac:dyDescent="0.2">
      <c r="A24" s="21">
        <v>46042</v>
      </c>
      <c r="B24" s="4">
        <v>6</v>
      </c>
      <c r="C24" s="4" t="s">
        <v>32</v>
      </c>
      <c r="D24" s="4" t="s">
        <v>16</v>
      </c>
      <c r="E24" s="23" t="str">
        <f>IF(AND(IFERROR(FIND(Planned!$B$3,Vendor_STS!$C24,1),0),$A24&lt;=Planned!$I$6, $A24&gt;=Planned!$H$6), "Yes","No")</f>
        <v>Yes</v>
      </c>
      <c r="F24" s="23">
        <f t="shared" si="0"/>
        <v>270</v>
      </c>
    </row>
    <row r="25" spans="1:6" x14ac:dyDescent="0.2">
      <c r="A25" s="21">
        <v>46043</v>
      </c>
      <c r="B25" s="4">
        <v>6</v>
      </c>
      <c r="C25" s="4" t="s">
        <v>32</v>
      </c>
      <c r="D25" s="4" t="s">
        <v>16</v>
      </c>
      <c r="E25" s="23" t="str">
        <f>IF(AND(IFERROR(FIND(Planned!$B$3,Vendor_STS!$C25,1),0),$A25&lt;=Planned!$I$6, $A25&gt;=Planned!$H$6), "Yes","No")</f>
        <v>Yes</v>
      </c>
      <c r="F25" s="23">
        <f t="shared" si="0"/>
        <v>270</v>
      </c>
    </row>
    <row r="26" spans="1:6" x14ac:dyDescent="0.2">
      <c r="A26" s="21">
        <v>46044</v>
      </c>
      <c r="B26" s="4">
        <v>6</v>
      </c>
      <c r="C26" s="4" t="s">
        <v>32</v>
      </c>
      <c r="D26" s="4" t="s">
        <v>16</v>
      </c>
      <c r="E26" s="23" t="str">
        <f>IF(AND(IFERROR(FIND(Planned!$B$3,Vendor_STS!$C26,1),0),$A26&lt;=Planned!$I$6, $A26&gt;=Planned!$H$6), "Yes","No")</f>
        <v>Yes</v>
      </c>
      <c r="F26" s="23">
        <f t="shared" si="0"/>
        <v>270</v>
      </c>
    </row>
    <row r="27" spans="1:6" x14ac:dyDescent="0.2">
      <c r="A27" s="21">
        <v>46045</v>
      </c>
      <c r="B27" s="4">
        <v>6</v>
      </c>
      <c r="C27" s="4" t="s">
        <v>32</v>
      </c>
      <c r="D27" s="4" t="s">
        <v>16</v>
      </c>
      <c r="E27" s="23" t="str">
        <f>IF(AND(IFERROR(FIND(Planned!$B$3,Vendor_STS!$C27,1),0),$A27&lt;=Planned!$I$6, $A27&gt;=Planned!$H$6), "Yes","No")</f>
        <v>Yes</v>
      </c>
      <c r="F27" s="23">
        <f t="shared" si="0"/>
        <v>270</v>
      </c>
    </row>
    <row r="28" spans="1:6" x14ac:dyDescent="0.2">
      <c r="A28" s="21">
        <v>46046</v>
      </c>
      <c r="B28" s="4">
        <v>6</v>
      </c>
      <c r="C28" s="4" t="s">
        <v>32</v>
      </c>
      <c r="D28" s="4" t="s">
        <v>16</v>
      </c>
      <c r="E28" s="23" t="str">
        <f>IF(AND(IFERROR(FIND(Planned!$B$3,Vendor_STS!$C28,1),0),$A28&lt;=Planned!$I$6, $A28&gt;=Planned!$H$6), "Yes","No")</f>
        <v>Yes</v>
      </c>
      <c r="F28" s="23">
        <f t="shared" si="0"/>
        <v>270</v>
      </c>
    </row>
    <row r="29" spans="1:6" x14ac:dyDescent="0.2">
      <c r="A29" s="21">
        <v>46047</v>
      </c>
      <c r="B29" s="4">
        <v>6</v>
      </c>
      <c r="C29" s="4" t="s">
        <v>32</v>
      </c>
      <c r="D29" s="4" t="s">
        <v>16</v>
      </c>
      <c r="E29" s="23" t="str">
        <f>IF(AND(IFERROR(FIND(Planned!$B$3,Vendor_STS!$C29,1),0),$A29&lt;=Planned!$I$6, $A29&gt;=Planned!$H$6), "Yes","No")</f>
        <v>Yes</v>
      </c>
      <c r="F29" s="23">
        <f t="shared" si="0"/>
        <v>270</v>
      </c>
    </row>
    <row r="30" spans="1:6" x14ac:dyDescent="0.2">
      <c r="A30" s="21">
        <v>46048</v>
      </c>
      <c r="B30" s="4">
        <v>6</v>
      </c>
      <c r="C30" s="4" t="s">
        <v>32</v>
      </c>
      <c r="D30" s="4" t="s">
        <v>16</v>
      </c>
      <c r="E30" s="23" t="str">
        <f>IF(AND(IFERROR(FIND(Planned!$B$3,Vendor_STS!$C30,1),0),$A30&lt;=Planned!$I$6, $A30&gt;=Planned!$H$6), "Yes","No")</f>
        <v>Yes</v>
      </c>
      <c r="F30" s="23">
        <f t="shared" si="0"/>
        <v>270</v>
      </c>
    </row>
    <row r="31" spans="1:6" x14ac:dyDescent="0.2">
      <c r="A31" s="21">
        <v>46049</v>
      </c>
      <c r="B31" s="4">
        <v>6</v>
      </c>
      <c r="C31" s="4" t="s">
        <v>32</v>
      </c>
      <c r="D31" s="4" t="s">
        <v>16</v>
      </c>
      <c r="E31" s="23" t="str">
        <f>IF(AND(IFERROR(FIND(Planned!$B$3,Vendor_STS!$C31,1),0),$A31&lt;=Planned!$I$6, $A31&gt;=Planned!$H$6), "Yes","No")</f>
        <v>Yes</v>
      </c>
      <c r="F31" s="23">
        <f t="shared" si="0"/>
        <v>270</v>
      </c>
    </row>
    <row r="32" spans="1:6" x14ac:dyDescent="0.2">
      <c r="A32" s="21">
        <v>46050</v>
      </c>
      <c r="B32" s="4">
        <v>6</v>
      </c>
      <c r="C32" s="4" t="s">
        <v>32</v>
      </c>
      <c r="D32" s="4" t="s">
        <v>16</v>
      </c>
      <c r="E32" s="23" t="str">
        <f>IF(AND(IFERROR(FIND(Planned!$B$3,Vendor_STS!$C32,1),0),$A32&lt;=Planned!$I$6, $A32&gt;=Planned!$H$6), "Yes","No")</f>
        <v>Yes</v>
      </c>
      <c r="F32" s="23">
        <f t="shared" si="0"/>
        <v>270</v>
      </c>
    </row>
    <row r="33" spans="1:6" x14ac:dyDescent="0.2">
      <c r="A33" s="21">
        <v>46051</v>
      </c>
      <c r="B33" s="4">
        <v>6</v>
      </c>
      <c r="C33" s="4" t="s">
        <v>32</v>
      </c>
      <c r="D33" s="4" t="s">
        <v>16</v>
      </c>
      <c r="E33" s="23" t="str">
        <f>IF(AND(IFERROR(FIND(Planned!$B$3,Vendor_STS!$C33,1),0),$A33&lt;=Planned!$I$6, $A33&gt;=Planned!$H$6), "Yes","No")</f>
        <v>Yes</v>
      </c>
      <c r="F33" s="23">
        <f t="shared" si="0"/>
        <v>270</v>
      </c>
    </row>
    <row r="34" spans="1:6" x14ac:dyDescent="0.2">
      <c r="A34" s="21">
        <v>46052</v>
      </c>
      <c r="B34" s="4">
        <v>6</v>
      </c>
      <c r="C34" s="4" t="s">
        <v>32</v>
      </c>
      <c r="D34" s="4" t="s">
        <v>16</v>
      </c>
      <c r="E34" s="23" t="str">
        <f>IF(AND(IFERROR(FIND(Planned!$B$3,Vendor_STS!$C34,1),0),$A34&lt;=Planned!$I$6, $A34&gt;=Planned!$H$6), "Yes","No")</f>
        <v>Yes</v>
      </c>
      <c r="F34" s="23">
        <f t="shared" si="0"/>
        <v>270</v>
      </c>
    </row>
    <row r="35" spans="1:6" x14ac:dyDescent="0.2">
      <c r="A35" s="21">
        <v>46053</v>
      </c>
      <c r="B35" s="4">
        <v>6</v>
      </c>
      <c r="C35" s="4" t="s">
        <v>32</v>
      </c>
      <c r="D35" s="4" t="s">
        <v>16</v>
      </c>
      <c r="E35" s="23" t="str">
        <f>IF(AND(IFERROR(FIND(Planned!$B$3,Vendor_STS!$C35,1),0),$A35&lt;=Planned!$I$6, $A35&gt;=Planned!$H$6), "Yes","No")</f>
        <v>Yes</v>
      </c>
      <c r="F35" s="23">
        <f t="shared" si="0"/>
        <v>270</v>
      </c>
    </row>
    <row r="36" spans="1:6" x14ac:dyDescent="0.2">
      <c r="A36" s="21">
        <v>46054</v>
      </c>
      <c r="B36" s="4">
        <v>6</v>
      </c>
      <c r="C36" s="4" t="s">
        <v>32</v>
      </c>
      <c r="D36" s="4" t="s">
        <v>16</v>
      </c>
      <c r="E36" s="23" t="str">
        <f>IF(AND(IFERROR(FIND(Planned!$B$3,Vendor_STS!$C36,1),0),$A36&lt;=Planned!$I$6, $A36&gt;=Planned!$H$6), "Yes","No")</f>
        <v>Yes</v>
      </c>
      <c r="F36" s="23">
        <f t="shared" si="0"/>
        <v>270</v>
      </c>
    </row>
    <row r="37" spans="1:6" x14ac:dyDescent="0.2">
      <c r="A37" s="21">
        <v>46055</v>
      </c>
      <c r="B37" s="4">
        <v>6</v>
      </c>
      <c r="C37" s="4" t="s">
        <v>32</v>
      </c>
      <c r="D37" s="4" t="s">
        <v>16</v>
      </c>
      <c r="E37" s="23" t="str">
        <f>IF(AND(IFERROR(FIND(Planned!$B$3,Vendor_STS!$C37,1),0),$A37&lt;=Planned!$I$6, $A37&gt;=Planned!$H$6), "Yes","No")</f>
        <v>Yes</v>
      </c>
      <c r="F37" s="23">
        <f t="shared" si="0"/>
        <v>270</v>
      </c>
    </row>
    <row r="38" spans="1:6" x14ac:dyDescent="0.2">
      <c r="A38" s="21">
        <v>46056</v>
      </c>
      <c r="B38" s="4">
        <v>6</v>
      </c>
      <c r="C38" s="4" t="s">
        <v>32</v>
      </c>
      <c r="D38" s="4" t="s">
        <v>16</v>
      </c>
      <c r="E38" s="23" t="str">
        <f>IF(AND(IFERROR(FIND(Planned!$B$3,Vendor_STS!$C38,1),0),$A38&lt;=Planned!$I$6, $A38&gt;=Planned!$H$6), "Yes","No")</f>
        <v>Yes</v>
      </c>
      <c r="F38" s="23">
        <f t="shared" si="0"/>
        <v>270</v>
      </c>
    </row>
    <row r="39" spans="1:6" x14ac:dyDescent="0.2">
      <c r="A39" s="21">
        <v>46057</v>
      </c>
      <c r="B39" s="4">
        <v>6</v>
      </c>
      <c r="C39" s="4" t="s">
        <v>32</v>
      </c>
      <c r="D39" s="4" t="s">
        <v>16</v>
      </c>
      <c r="E39" s="23" t="str">
        <f>IF(AND(IFERROR(FIND(Planned!$B$3,Vendor_STS!$C39,1),0),$A39&lt;=Planned!$I$6, $A39&gt;=Planned!$H$6), "Yes","No")</f>
        <v>Yes</v>
      </c>
      <c r="F39" s="23">
        <f t="shared" si="0"/>
        <v>270</v>
      </c>
    </row>
    <row r="40" spans="1:6" x14ac:dyDescent="0.2">
      <c r="A40" s="21">
        <v>46058</v>
      </c>
      <c r="B40" s="4">
        <v>6</v>
      </c>
      <c r="C40" s="4" t="s">
        <v>32</v>
      </c>
      <c r="D40" s="4" t="s">
        <v>16</v>
      </c>
      <c r="E40" s="23" t="str">
        <f>IF(AND(IFERROR(FIND(Planned!$B$3,Vendor_STS!$C40,1),0),$A40&lt;=Planned!$I$6, $A40&gt;=Planned!$H$6), "Yes","No")</f>
        <v>Yes</v>
      </c>
      <c r="F40" s="23">
        <f t="shared" si="0"/>
        <v>270</v>
      </c>
    </row>
    <row r="41" spans="1:6" x14ac:dyDescent="0.2">
      <c r="A41" s="21">
        <v>46059</v>
      </c>
      <c r="B41" s="4">
        <v>6</v>
      </c>
      <c r="C41" s="4" t="s">
        <v>32</v>
      </c>
      <c r="D41" s="4" t="s">
        <v>16</v>
      </c>
      <c r="E41" s="23" t="str">
        <f>IF(AND(IFERROR(FIND(Planned!$B$3,Vendor_STS!$C41,1),0),$A41&lt;=Planned!$I$6, $A41&gt;=Planned!$H$6), "Yes","No")</f>
        <v>Yes</v>
      </c>
      <c r="F41" s="23">
        <f t="shared" si="0"/>
        <v>270</v>
      </c>
    </row>
    <row r="42" spans="1:6" x14ac:dyDescent="0.2">
      <c r="A42" s="21">
        <v>46060</v>
      </c>
      <c r="B42" s="4">
        <v>6</v>
      </c>
      <c r="C42" s="4" t="s">
        <v>32</v>
      </c>
      <c r="D42" s="4" t="s">
        <v>16</v>
      </c>
      <c r="E42" s="23" t="str">
        <f>IF(AND(IFERROR(FIND(Planned!$B$3,Vendor_STS!$C42,1),0),$A42&lt;=Planned!$I$6, $A42&gt;=Planned!$H$6), "Yes","No")</f>
        <v>Yes</v>
      </c>
      <c r="F42" s="23">
        <f t="shared" si="0"/>
        <v>270</v>
      </c>
    </row>
    <row r="43" spans="1:6" x14ac:dyDescent="0.2">
      <c r="A43" s="21">
        <v>46061</v>
      </c>
      <c r="B43" s="4">
        <v>6</v>
      </c>
      <c r="C43" s="4" t="s">
        <v>32</v>
      </c>
      <c r="D43" s="4" t="s">
        <v>16</v>
      </c>
      <c r="E43" s="23" t="str">
        <f>IF(AND(IFERROR(FIND(Planned!$B$3,Vendor_STS!$C43,1),0),$A43&lt;=Planned!$I$6, $A43&gt;=Planned!$H$6), "Yes","No")</f>
        <v>Yes</v>
      </c>
      <c r="F43" s="23">
        <f t="shared" si="0"/>
        <v>270</v>
      </c>
    </row>
    <row r="44" spans="1:6" x14ac:dyDescent="0.2">
      <c r="A44" s="21">
        <v>46062</v>
      </c>
      <c r="B44" s="4">
        <v>6</v>
      </c>
      <c r="C44" s="4" t="s">
        <v>33</v>
      </c>
      <c r="D44" s="4" t="s">
        <v>16</v>
      </c>
      <c r="E44" s="23" t="str">
        <f>IF(AND(IFERROR(FIND(Planned!$B$3,Vendor_STS!$C44,1),0),$A44&lt;=Planned!$I$6, $A44&gt;=Planned!$H$6), "Yes","No")</f>
        <v>No</v>
      </c>
      <c r="F44" s="23">
        <f t="shared" si="0"/>
        <v>270</v>
      </c>
    </row>
    <row r="45" spans="1:6" x14ac:dyDescent="0.2">
      <c r="A45" s="21">
        <v>46063</v>
      </c>
      <c r="B45" s="4">
        <v>6</v>
      </c>
      <c r="C45" s="4" t="s">
        <v>33</v>
      </c>
      <c r="D45" s="4" t="s">
        <v>16</v>
      </c>
      <c r="E45" s="23" t="str">
        <f>IF(AND(IFERROR(FIND(Planned!$B$3,Vendor_STS!$C45,1),0),$A45&lt;=Planned!$I$6, $A45&gt;=Planned!$H$6), "Yes","No")</f>
        <v>No</v>
      </c>
      <c r="F45" s="23">
        <f t="shared" si="0"/>
        <v>270</v>
      </c>
    </row>
    <row r="46" spans="1:6" x14ac:dyDescent="0.2">
      <c r="A46" s="21">
        <v>46064</v>
      </c>
      <c r="B46" s="4">
        <v>6</v>
      </c>
      <c r="C46" s="4" t="s">
        <v>32</v>
      </c>
      <c r="D46" s="4" t="s">
        <v>16</v>
      </c>
      <c r="E46" s="23" t="str">
        <f>IF(AND(IFERROR(FIND(Planned!$B$3,Vendor_STS!$C46,1),0),$A46&lt;=Planned!$I$6, $A46&gt;=Planned!$H$6), "Yes","No")</f>
        <v>Yes</v>
      </c>
      <c r="F46" s="23">
        <f t="shared" si="0"/>
        <v>270</v>
      </c>
    </row>
    <row r="47" spans="1:6" x14ac:dyDescent="0.2">
      <c r="A47" s="21">
        <v>46065</v>
      </c>
      <c r="B47" s="4">
        <v>6</v>
      </c>
      <c r="C47" s="4" t="s">
        <v>32</v>
      </c>
      <c r="D47" s="4" t="s">
        <v>16</v>
      </c>
      <c r="E47" s="23" t="str">
        <f>IF(AND(IFERROR(FIND(Planned!$B$3,Vendor_STS!$C47,1),0),$A47&lt;=Planned!$I$6, $A47&gt;=Planned!$H$6), "Yes","No")</f>
        <v>Yes</v>
      </c>
      <c r="F47" s="23">
        <f t="shared" si="0"/>
        <v>270</v>
      </c>
    </row>
    <row r="48" spans="1:6" x14ac:dyDescent="0.2">
      <c r="A48" s="21">
        <v>46066</v>
      </c>
      <c r="B48" s="4">
        <v>6</v>
      </c>
      <c r="C48" s="4" t="s">
        <v>32</v>
      </c>
      <c r="D48" s="4" t="s">
        <v>16</v>
      </c>
      <c r="E48" s="23" t="str">
        <f>IF(AND(IFERROR(FIND(Planned!$B$3,Vendor_STS!$C48,1),0),$A48&lt;=Planned!$I$6, $A48&gt;=Planned!$H$6), "Yes","No")</f>
        <v>Yes</v>
      </c>
      <c r="F48" s="23">
        <f t="shared" si="0"/>
        <v>270</v>
      </c>
    </row>
    <row r="49" spans="1:6" x14ac:dyDescent="0.2">
      <c r="A49" s="21">
        <v>46067</v>
      </c>
      <c r="B49" s="4">
        <v>6</v>
      </c>
      <c r="C49" s="4" t="s">
        <v>32</v>
      </c>
      <c r="D49" s="4" t="s">
        <v>16</v>
      </c>
      <c r="E49" s="23" t="str">
        <f>IF(AND(IFERROR(FIND(Planned!$B$3,Vendor_STS!$C49,1),0),$A49&lt;=Planned!$I$6, $A49&gt;=Planned!$H$6), "Yes","No")</f>
        <v>Yes</v>
      </c>
      <c r="F49" s="23">
        <f t="shared" si="0"/>
        <v>270</v>
      </c>
    </row>
    <row r="50" spans="1:6" x14ac:dyDescent="0.2">
      <c r="A50" s="21">
        <v>46068</v>
      </c>
      <c r="B50" s="4">
        <v>6</v>
      </c>
      <c r="C50" s="4" t="s">
        <v>32</v>
      </c>
      <c r="D50" s="4" t="s">
        <v>16</v>
      </c>
      <c r="E50" s="23" t="str">
        <f>IF(AND(IFERROR(FIND(Planned!$B$3,Vendor_STS!$C50,1),0),$A50&lt;=Planned!$I$6, $A50&gt;=Planned!$H$6), "Yes","No")</f>
        <v>Yes</v>
      </c>
      <c r="F50" s="23">
        <f t="shared" si="0"/>
        <v>270</v>
      </c>
    </row>
    <row r="51" spans="1:6" x14ac:dyDescent="0.2">
      <c r="A51" s="21">
        <v>46069</v>
      </c>
      <c r="B51" s="4">
        <v>6</v>
      </c>
      <c r="C51" s="4" t="s">
        <v>32</v>
      </c>
      <c r="D51" s="4" t="s">
        <v>16</v>
      </c>
      <c r="E51" s="23" t="str">
        <f>IF(AND(IFERROR(FIND(Planned!$B$3,Vendor_STS!$C51,1),0),$A51&lt;=Planned!$I$6, $A51&gt;=Planned!$H$6), "Yes","No")</f>
        <v>Yes</v>
      </c>
      <c r="F51" s="23">
        <f t="shared" si="0"/>
        <v>270</v>
      </c>
    </row>
    <row r="52" spans="1:6" x14ac:dyDescent="0.2">
      <c r="A52" s="21">
        <v>46070</v>
      </c>
      <c r="B52" s="4">
        <v>6</v>
      </c>
      <c r="C52" s="4" t="s">
        <v>32</v>
      </c>
      <c r="D52" s="4" t="s">
        <v>16</v>
      </c>
      <c r="E52" s="23" t="str">
        <f>IF(AND(IFERROR(FIND(Planned!$B$3,Vendor_STS!$C52,1),0),$A52&lt;=Planned!$I$6, $A52&gt;=Planned!$H$6), "Yes","No")</f>
        <v>Yes</v>
      </c>
      <c r="F52" s="23">
        <f t="shared" si="0"/>
        <v>270</v>
      </c>
    </row>
    <row r="53" spans="1:6" x14ac:dyDescent="0.2">
      <c r="A53" s="21">
        <v>46071</v>
      </c>
      <c r="B53" s="4">
        <v>6</v>
      </c>
      <c r="C53" s="4" t="s">
        <v>32</v>
      </c>
      <c r="D53" s="4" t="s">
        <v>16</v>
      </c>
      <c r="E53" s="23" t="str">
        <f>IF(AND(IFERROR(FIND(Planned!$B$3,Vendor_STS!$C53,1),0),$A53&lt;=Planned!$I$6, $A53&gt;=Planned!$H$6), "Yes","No")</f>
        <v>Yes</v>
      </c>
      <c r="F53" s="23">
        <f t="shared" si="0"/>
        <v>270</v>
      </c>
    </row>
    <row r="54" spans="1:6" x14ac:dyDescent="0.2">
      <c r="A54" s="21">
        <v>46072</v>
      </c>
      <c r="B54" s="4">
        <v>6</v>
      </c>
      <c r="C54" s="4" t="s">
        <v>32</v>
      </c>
      <c r="D54" s="4" t="s">
        <v>16</v>
      </c>
      <c r="E54" s="23" t="str">
        <f>IF(AND(IFERROR(FIND(Planned!$B$3,Vendor_STS!$C54,1),0),$A54&lt;=Planned!$I$6, $A54&gt;=Planned!$H$6), "Yes","No")</f>
        <v>Yes</v>
      </c>
      <c r="F54" s="23">
        <f t="shared" si="0"/>
        <v>270</v>
      </c>
    </row>
    <row r="55" spans="1:6" x14ac:dyDescent="0.2">
      <c r="A55" s="21">
        <v>46073</v>
      </c>
      <c r="B55" s="4">
        <v>6</v>
      </c>
      <c r="C55" s="4" t="s">
        <v>32</v>
      </c>
      <c r="D55" s="4" t="s">
        <v>16</v>
      </c>
      <c r="E55" s="23" t="str">
        <f>IF(AND(IFERROR(FIND(Planned!$B$3,Vendor_STS!$C55,1),0),$A55&lt;=Planned!$I$6, $A55&gt;=Planned!$H$6), "Yes","No")</f>
        <v>Yes</v>
      </c>
      <c r="F55" s="23">
        <f t="shared" si="0"/>
        <v>270</v>
      </c>
    </row>
    <row r="56" spans="1:6" x14ac:dyDescent="0.2">
      <c r="A56" s="21">
        <v>46074</v>
      </c>
      <c r="B56" s="4">
        <v>6</v>
      </c>
      <c r="C56" s="4" t="s">
        <v>33</v>
      </c>
      <c r="D56" s="4" t="s">
        <v>16</v>
      </c>
      <c r="E56" s="23" t="str">
        <f>IF(AND(IFERROR(FIND(Planned!$B$3,Vendor_STS!$C56,1),0),$A56&lt;=Planned!$I$6, $A56&gt;=Planned!$H$6), "Yes","No")</f>
        <v>No</v>
      </c>
      <c r="F56" s="23">
        <f t="shared" si="0"/>
        <v>270</v>
      </c>
    </row>
    <row r="57" spans="1:6" x14ac:dyDescent="0.2">
      <c r="A57" s="21">
        <v>46075</v>
      </c>
      <c r="B57" s="4">
        <v>6</v>
      </c>
      <c r="C57" s="4" t="s">
        <v>33</v>
      </c>
      <c r="D57" s="4" t="s">
        <v>16</v>
      </c>
      <c r="E57" s="23" t="str">
        <f>IF(AND(IFERROR(FIND(Planned!$B$3,Vendor_STS!$C57,1),0),$A57&lt;=Planned!$I$6, $A57&gt;=Planned!$H$6), "Yes","No")</f>
        <v>No</v>
      </c>
      <c r="F57" s="23">
        <f t="shared" si="0"/>
        <v>270</v>
      </c>
    </row>
    <row r="58" spans="1:6" x14ac:dyDescent="0.2">
      <c r="A58" s="21">
        <v>46076</v>
      </c>
      <c r="B58" s="4">
        <v>6</v>
      </c>
      <c r="C58" s="4" t="s">
        <v>32</v>
      </c>
      <c r="D58" s="4" t="s">
        <v>16</v>
      </c>
      <c r="E58" s="23" t="str">
        <f>IF(AND(IFERROR(FIND(Planned!$B$3,Vendor_STS!$C58,1),0),$A58&lt;=Planned!$I$6, $A58&gt;=Planned!$H$6), "Yes","No")</f>
        <v>Yes</v>
      </c>
      <c r="F58" s="23">
        <f t="shared" si="0"/>
        <v>270</v>
      </c>
    </row>
    <row r="59" spans="1:6" x14ac:dyDescent="0.2">
      <c r="A59" s="21">
        <v>46077</v>
      </c>
      <c r="B59" s="4">
        <v>6</v>
      </c>
      <c r="C59" s="4" t="s">
        <v>32</v>
      </c>
      <c r="D59" s="4" t="s">
        <v>16</v>
      </c>
      <c r="E59" s="23" t="str">
        <f>IF(AND(IFERROR(FIND(Planned!$B$3,Vendor_STS!$C59,1),0),$A59&lt;=Planned!$I$6, $A59&gt;=Planned!$H$6), "Yes","No")</f>
        <v>Yes</v>
      </c>
      <c r="F59" s="23">
        <f t="shared" si="0"/>
        <v>270</v>
      </c>
    </row>
    <row r="60" spans="1:6" x14ac:dyDescent="0.2">
      <c r="A60" s="21">
        <v>46078</v>
      </c>
      <c r="B60" s="4">
        <v>6</v>
      </c>
      <c r="C60" s="4" t="s">
        <v>32</v>
      </c>
      <c r="D60" s="4" t="s">
        <v>16</v>
      </c>
      <c r="E60" s="23" t="str">
        <f>IF(AND(IFERROR(FIND(Planned!$B$3,Vendor_STS!$C60,1),0),$A60&lt;=Planned!$I$6, $A60&gt;=Planned!$H$6), "Yes","No")</f>
        <v>Yes</v>
      </c>
      <c r="F60" s="23">
        <f t="shared" si="0"/>
        <v>270</v>
      </c>
    </row>
    <row r="61" spans="1:6" x14ac:dyDescent="0.2">
      <c r="A61" s="21">
        <v>46079</v>
      </c>
      <c r="B61" s="4">
        <v>6</v>
      </c>
      <c r="C61" s="4" t="s">
        <v>32</v>
      </c>
      <c r="D61" s="4" t="s">
        <v>16</v>
      </c>
      <c r="E61" s="23" t="str">
        <f>IF(AND(IFERROR(FIND(Planned!$B$3,Vendor_STS!$C61,1),0),$A61&lt;=Planned!$I$6, $A61&gt;=Planned!$H$6), "Yes","No")</f>
        <v>Yes</v>
      </c>
      <c r="F61" s="23">
        <f t="shared" si="0"/>
        <v>270</v>
      </c>
    </row>
    <row r="62" spans="1:6" x14ac:dyDescent="0.2">
      <c r="A62" s="21">
        <v>46080</v>
      </c>
      <c r="B62" s="4">
        <v>6</v>
      </c>
      <c r="C62" s="4" t="s">
        <v>32</v>
      </c>
      <c r="D62" s="4" t="s">
        <v>16</v>
      </c>
      <c r="E62" s="23" t="str">
        <f>IF(AND(IFERROR(FIND(Planned!$B$3,Vendor_STS!$C62,1),0),$A62&lt;=Planned!$I$6, $A62&gt;=Planned!$H$6), "Yes","No")</f>
        <v>Yes</v>
      </c>
      <c r="F62" s="23">
        <f t="shared" si="0"/>
        <v>270</v>
      </c>
    </row>
    <row r="63" spans="1:6" x14ac:dyDescent="0.2">
      <c r="A63" s="21">
        <v>46081</v>
      </c>
      <c r="B63" s="4">
        <v>6</v>
      </c>
      <c r="C63" s="4" t="s">
        <v>32</v>
      </c>
      <c r="D63" s="4" t="s">
        <v>16</v>
      </c>
      <c r="E63" s="23" t="str">
        <f>IF(AND(IFERROR(FIND(Planned!$B$3,Vendor_STS!$C63,1),0),$A63&lt;=Planned!$I$6, $A63&gt;=Planned!$H$6), "Yes","No")</f>
        <v>Yes</v>
      </c>
      <c r="F63" s="23">
        <f t="shared" si="0"/>
        <v>270</v>
      </c>
    </row>
    <row r="64" spans="1:6" x14ac:dyDescent="0.2">
      <c r="A64" s="21">
        <v>46082</v>
      </c>
      <c r="B64" s="4">
        <v>6</v>
      </c>
      <c r="C64" s="4" t="s">
        <v>32</v>
      </c>
      <c r="D64" s="4" t="s">
        <v>16</v>
      </c>
      <c r="E64" s="23" t="str">
        <f>IF(AND(IFERROR(FIND(Planned!$B$3,Vendor_STS!$C64,1),0),$A64&lt;=Planned!$I$6, $A64&gt;=Planned!$H$6), "Yes","No")</f>
        <v>Yes</v>
      </c>
      <c r="F64" s="23">
        <f t="shared" si="0"/>
        <v>270</v>
      </c>
    </row>
    <row r="65" spans="1:6" x14ac:dyDescent="0.2">
      <c r="A65" s="21">
        <v>46083</v>
      </c>
      <c r="B65" s="4">
        <v>6</v>
      </c>
      <c r="C65" s="4" t="s">
        <v>32</v>
      </c>
      <c r="D65" s="4" t="s">
        <v>16</v>
      </c>
      <c r="E65" s="23" t="str">
        <f>IF(AND(IFERROR(FIND(Planned!$B$3,Vendor_STS!$C65,1),0),$A65&lt;=Planned!$I$6, $A65&gt;=Planned!$H$6), "Yes","No")</f>
        <v>Yes</v>
      </c>
      <c r="F65" s="23">
        <f t="shared" si="0"/>
        <v>270</v>
      </c>
    </row>
    <row r="66" spans="1:6" x14ac:dyDescent="0.2">
      <c r="A66" s="21">
        <v>46084</v>
      </c>
      <c r="B66" s="4">
        <v>6</v>
      </c>
      <c r="C66" s="4" t="s">
        <v>32</v>
      </c>
      <c r="D66" s="4" t="s">
        <v>16</v>
      </c>
      <c r="E66" s="23" t="str">
        <f>IF(AND(IFERROR(FIND(Planned!$B$3,Vendor_STS!$C66,1),0),$A66&lt;=Planned!$I$6, $A66&gt;=Planned!$H$6), "Yes","No")</f>
        <v>Yes</v>
      </c>
      <c r="F66" s="23">
        <f t="shared" si="0"/>
        <v>270</v>
      </c>
    </row>
    <row r="67" spans="1:6" x14ac:dyDescent="0.2">
      <c r="A67" s="21">
        <v>46085</v>
      </c>
      <c r="B67" s="4">
        <v>6</v>
      </c>
      <c r="C67" s="4" t="s">
        <v>32</v>
      </c>
      <c r="D67" s="4" t="s">
        <v>16</v>
      </c>
      <c r="E67" s="23" t="str">
        <f>IF(AND(IFERROR(FIND(Planned!$B$3,Vendor_STS!$C67,1),0),$A67&lt;=Planned!$I$6, $A67&gt;=Planned!$H$6), "Yes","No")</f>
        <v>Yes</v>
      </c>
      <c r="F67" s="23">
        <f t="shared" si="0"/>
        <v>270</v>
      </c>
    </row>
    <row r="68" spans="1:6" x14ac:dyDescent="0.2">
      <c r="A68" s="21">
        <v>46086</v>
      </c>
      <c r="B68" s="4">
        <v>6</v>
      </c>
      <c r="C68" s="4" t="s">
        <v>32</v>
      </c>
      <c r="D68" s="4" t="s">
        <v>16</v>
      </c>
      <c r="E68" s="23" t="str">
        <f>IF(AND(IFERROR(FIND(Planned!$B$3,Vendor_STS!$C68,1),0),$A68&lt;=Planned!$I$6, $A68&gt;=Planned!$H$6), "Yes","No")</f>
        <v>Yes</v>
      </c>
      <c r="F68" s="23">
        <f t="shared" si="0"/>
        <v>270</v>
      </c>
    </row>
    <row r="69" spans="1:6" x14ac:dyDescent="0.2">
      <c r="A69" s="21">
        <v>46087</v>
      </c>
      <c r="B69" s="4">
        <v>6</v>
      </c>
      <c r="C69" s="4" t="s">
        <v>32</v>
      </c>
      <c r="D69" s="4" t="s">
        <v>16</v>
      </c>
      <c r="E69" s="23" t="str">
        <f>IF(AND(IFERROR(FIND(Planned!$B$3,Vendor_STS!$C69,1),0),$A69&lt;=Planned!$I$6, $A69&gt;=Planned!$H$6), "Yes","No")</f>
        <v>Yes</v>
      </c>
      <c r="F69" s="23">
        <f t="shared" si="0"/>
        <v>270</v>
      </c>
    </row>
    <row r="70" spans="1:6" x14ac:dyDescent="0.2">
      <c r="A70" s="21">
        <v>46088</v>
      </c>
      <c r="B70" s="4">
        <v>6</v>
      </c>
      <c r="C70" s="4" t="s">
        <v>32</v>
      </c>
      <c r="D70" s="4" t="s">
        <v>16</v>
      </c>
      <c r="E70" s="23" t="str">
        <f>IF(AND(IFERROR(FIND(Planned!$B$3,Vendor_STS!$C70,1),0),$A70&lt;=Planned!$I$6, $A70&gt;=Planned!$H$6), "Yes","No")</f>
        <v>Yes</v>
      </c>
      <c r="F70" s="23">
        <f t="shared" ref="F70:F124" si="1">B70*$F$1</f>
        <v>270</v>
      </c>
    </row>
    <row r="71" spans="1:6" x14ac:dyDescent="0.2">
      <c r="A71" s="21">
        <v>46089</v>
      </c>
      <c r="B71" s="4">
        <v>6</v>
      </c>
      <c r="C71" s="4" t="s">
        <v>32</v>
      </c>
      <c r="D71" s="4" t="s">
        <v>16</v>
      </c>
      <c r="E71" s="23" t="str">
        <f>IF(AND(IFERROR(FIND(Planned!$B$3,Vendor_STS!$C71,1),0),$A71&lt;=Planned!$I$6, $A71&gt;=Planned!$H$6), "Yes","No")</f>
        <v>Yes</v>
      </c>
      <c r="F71" s="23">
        <f t="shared" si="1"/>
        <v>270</v>
      </c>
    </row>
    <row r="72" spans="1:6" x14ac:dyDescent="0.2">
      <c r="A72" s="21">
        <v>46090</v>
      </c>
      <c r="B72" s="4">
        <v>6</v>
      </c>
      <c r="C72" s="4" t="s">
        <v>32</v>
      </c>
      <c r="D72" s="4" t="s">
        <v>16</v>
      </c>
      <c r="E72" s="23" t="str">
        <f>IF(AND(IFERROR(FIND(Planned!$B$3,Vendor_STS!$C72,1),0),$A72&lt;=Planned!$I$6, $A72&gt;=Planned!$H$6), "Yes","No")</f>
        <v>Yes</v>
      </c>
      <c r="F72" s="23">
        <f t="shared" si="1"/>
        <v>270</v>
      </c>
    </row>
    <row r="73" spans="1:6" x14ac:dyDescent="0.2">
      <c r="A73" s="21">
        <v>46091</v>
      </c>
      <c r="B73" s="4">
        <v>6</v>
      </c>
      <c r="C73" s="4" t="s">
        <v>33</v>
      </c>
      <c r="D73" s="4" t="s">
        <v>16</v>
      </c>
      <c r="E73" s="23" t="str">
        <f>IF(AND(IFERROR(FIND(Planned!$B$3,Vendor_STS!$C73,1),0),$A73&lt;=Planned!$I$6, $A73&gt;=Planned!$H$6), "Yes","No")</f>
        <v>No</v>
      </c>
      <c r="F73" s="23">
        <f t="shared" si="1"/>
        <v>270</v>
      </c>
    </row>
    <row r="74" spans="1:6" x14ac:dyDescent="0.2">
      <c r="A74" s="21">
        <v>46092</v>
      </c>
      <c r="B74" s="4">
        <v>6</v>
      </c>
      <c r="C74" s="4" t="s">
        <v>32</v>
      </c>
      <c r="D74" s="4" t="s">
        <v>16</v>
      </c>
      <c r="E74" s="23" t="str">
        <f>IF(AND(IFERROR(FIND(Planned!$B$3,Vendor_STS!$C74,1),0),$A74&lt;=Planned!$I$6, $A74&gt;=Planned!$H$6), "Yes","No")</f>
        <v>Yes</v>
      </c>
      <c r="F74" s="23">
        <f t="shared" si="1"/>
        <v>270</v>
      </c>
    </row>
    <row r="75" spans="1:6" x14ac:dyDescent="0.2">
      <c r="A75" s="21">
        <v>46093</v>
      </c>
      <c r="B75" s="4">
        <v>6</v>
      </c>
      <c r="C75" s="4" t="s">
        <v>32</v>
      </c>
      <c r="D75" s="4" t="s">
        <v>16</v>
      </c>
      <c r="E75" s="23" t="str">
        <f>IF(AND(IFERROR(FIND(Planned!$B$3,Vendor_STS!$C75,1),0),$A75&lt;=Planned!$I$6, $A75&gt;=Planned!$H$6), "Yes","No")</f>
        <v>Yes</v>
      </c>
      <c r="F75" s="23">
        <f t="shared" si="1"/>
        <v>270</v>
      </c>
    </row>
    <row r="76" spans="1:6" x14ac:dyDescent="0.2">
      <c r="A76" s="21">
        <v>46094</v>
      </c>
      <c r="B76" s="4">
        <v>6</v>
      </c>
      <c r="C76" s="4" t="s">
        <v>32</v>
      </c>
      <c r="D76" s="4" t="s">
        <v>16</v>
      </c>
      <c r="E76" s="23" t="str">
        <f>IF(AND(IFERROR(FIND(Planned!$B$3,Vendor_STS!$C76,1),0),$A76&lt;=Planned!$I$6, $A76&gt;=Planned!$H$6), "Yes","No")</f>
        <v>Yes</v>
      </c>
      <c r="F76" s="23">
        <f t="shared" si="1"/>
        <v>270</v>
      </c>
    </row>
    <row r="77" spans="1:6" x14ac:dyDescent="0.2">
      <c r="A77" s="21">
        <v>46095</v>
      </c>
      <c r="B77" s="4">
        <v>6</v>
      </c>
      <c r="C77" s="4" t="s">
        <v>32</v>
      </c>
      <c r="D77" s="4" t="s">
        <v>16</v>
      </c>
      <c r="E77" s="23" t="str">
        <f>IF(AND(IFERROR(FIND(Planned!$B$3,Vendor_STS!$C77,1),0),$A77&lt;=Planned!$I$6, $A77&gt;=Planned!$H$6), "Yes","No")</f>
        <v>Yes</v>
      </c>
      <c r="F77" s="23">
        <f t="shared" si="1"/>
        <v>270</v>
      </c>
    </row>
    <row r="78" spans="1:6" x14ac:dyDescent="0.2">
      <c r="A78" s="21">
        <v>46096</v>
      </c>
      <c r="B78" s="4">
        <v>6</v>
      </c>
      <c r="C78" s="4" t="s">
        <v>32</v>
      </c>
      <c r="D78" s="4" t="s">
        <v>16</v>
      </c>
      <c r="E78" s="23" t="str">
        <f>IF(AND(IFERROR(FIND(Planned!$B$3,Vendor_STS!$C78,1),0),$A78&lt;=Planned!$I$6, $A78&gt;=Planned!$H$6), "Yes","No")</f>
        <v>Yes</v>
      </c>
      <c r="F78" s="23">
        <f t="shared" si="1"/>
        <v>270</v>
      </c>
    </row>
    <row r="79" spans="1:6" x14ac:dyDescent="0.2">
      <c r="A79" s="21">
        <v>46097</v>
      </c>
      <c r="B79" s="4">
        <v>6</v>
      </c>
      <c r="C79" s="4" t="s">
        <v>32</v>
      </c>
      <c r="D79" s="4" t="s">
        <v>16</v>
      </c>
      <c r="E79" s="23" t="str">
        <f>IF(AND(IFERROR(FIND(Planned!$B$3,Vendor_STS!$C79,1),0),$A79&lt;=Planned!$I$6, $A79&gt;=Planned!$H$6), "Yes","No")</f>
        <v>Yes</v>
      </c>
      <c r="F79" s="23">
        <f t="shared" si="1"/>
        <v>270</v>
      </c>
    </row>
    <row r="80" spans="1:6" x14ac:dyDescent="0.2">
      <c r="A80" s="21">
        <v>46098</v>
      </c>
      <c r="B80" s="4">
        <v>6</v>
      </c>
      <c r="C80" s="4" t="s">
        <v>32</v>
      </c>
      <c r="D80" s="4" t="s">
        <v>16</v>
      </c>
      <c r="E80" s="23" t="str">
        <f>IF(AND(IFERROR(FIND(Planned!$B$3,Vendor_STS!$C80,1),0),$A80&lt;=Planned!$I$6, $A80&gt;=Planned!$H$6), "Yes","No")</f>
        <v>Yes</v>
      </c>
      <c r="F80" s="23">
        <f t="shared" si="1"/>
        <v>270</v>
      </c>
    </row>
    <row r="81" spans="1:6" x14ac:dyDescent="0.2">
      <c r="A81" s="21">
        <v>46099</v>
      </c>
      <c r="B81" s="4">
        <v>6</v>
      </c>
      <c r="C81" s="4" t="s">
        <v>32</v>
      </c>
      <c r="D81" s="4" t="s">
        <v>16</v>
      </c>
      <c r="E81" s="23" t="str">
        <f>IF(AND(IFERROR(FIND(Planned!$B$3,Vendor_STS!$C81,1),0),$A81&lt;=Planned!$I$6, $A81&gt;=Planned!$H$6), "Yes","No")</f>
        <v>Yes</v>
      </c>
      <c r="F81" s="23">
        <f t="shared" si="1"/>
        <v>270</v>
      </c>
    </row>
    <row r="82" spans="1:6" x14ac:dyDescent="0.2">
      <c r="A82" s="21">
        <v>46100</v>
      </c>
      <c r="B82" s="4">
        <v>6</v>
      </c>
      <c r="C82" s="4" t="s">
        <v>32</v>
      </c>
      <c r="D82" s="4" t="s">
        <v>16</v>
      </c>
      <c r="E82" s="23" t="str">
        <f>IF(AND(IFERROR(FIND(Planned!$B$3,Vendor_STS!$C82,1),0),$A82&lt;=Planned!$I$6, $A82&gt;=Planned!$H$6), "Yes","No")</f>
        <v>Yes</v>
      </c>
      <c r="F82" s="23">
        <f t="shared" si="1"/>
        <v>270</v>
      </c>
    </row>
    <row r="83" spans="1:6" x14ac:dyDescent="0.2">
      <c r="A83" s="21">
        <v>46101</v>
      </c>
      <c r="B83" s="4">
        <v>6</v>
      </c>
      <c r="C83" s="4" t="s">
        <v>32</v>
      </c>
      <c r="D83" s="4" t="s">
        <v>16</v>
      </c>
      <c r="E83" s="23" t="str">
        <f>IF(AND(IFERROR(FIND(Planned!$B$3,Vendor_STS!$C83,1),0),$A83&lt;=Planned!$I$6, $A83&gt;=Planned!$H$6), "Yes","No")</f>
        <v>Yes</v>
      </c>
      <c r="F83" s="23">
        <f t="shared" si="1"/>
        <v>270</v>
      </c>
    </row>
    <row r="84" spans="1:6" x14ac:dyDescent="0.2">
      <c r="A84" s="21">
        <v>46102</v>
      </c>
      <c r="B84" s="4">
        <v>6</v>
      </c>
      <c r="C84" s="4" t="s">
        <v>33</v>
      </c>
      <c r="D84" s="4" t="s">
        <v>16</v>
      </c>
      <c r="E84" s="23" t="str">
        <f>IF(AND(IFERROR(FIND(Planned!$B$3,Vendor_STS!$C84,1),0),$A84&lt;=Planned!$I$6, $A84&gt;=Planned!$H$6), "Yes","No")</f>
        <v>No</v>
      </c>
      <c r="F84" s="23">
        <f t="shared" si="1"/>
        <v>270</v>
      </c>
    </row>
    <row r="85" spans="1:6" x14ac:dyDescent="0.2">
      <c r="A85" s="21">
        <v>46103</v>
      </c>
      <c r="B85" s="4">
        <v>6</v>
      </c>
      <c r="C85" s="4" t="s">
        <v>33</v>
      </c>
      <c r="D85" s="4" t="s">
        <v>16</v>
      </c>
      <c r="E85" s="23" t="str">
        <f>IF(AND(IFERROR(FIND(Planned!$B$3,Vendor_STS!$C85,1),0),$A85&lt;=Planned!$I$6, $A85&gt;=Planned!$H$6), "Yes","No")</f>
        <v>No</v>
      </c>
      <c r="F85" s="23">
        <f t="shared" si="1"/>
        <v>270</v>
      </c>
    </row>
    <row r="86" spans="1:6" x14ac:dyDescent="0.2">
      <c r="A86" s="21">
        <v>46104</v>
      </c>
      <c r="B86" s="4">
        <v>6</v>
      </c>
      <c r="C86" s="4" t="s">
        <v>32</v>
      </c>
      <c r="D86" s="4" t="s">
        <v>16</v>
      </c>
      <c r="E86" s="23" t="str">
        <f>IF(AND(IFERROR(FIND(Planned!$B$3,Vendor_STS!$C86,1),0),$A86&lt;=Planned!$I$6, $A86&gt;=Planned!$H$6), "Yes","No")</f>
        <v>Yes</v>
      </c>
      <c r="F86" s="23">
        <f t="shared" si="1"/>
        <v>270</v>
      </c>
    </row>
    <row r="87" spans="1:6" x14ac:dyDescent="0.2">
      <c r="A87" s="21">
        <v>46105</v>
      </c>
      <c r="B87" s="4">
        <v>6</v>
      </c>
      <c r="C87" s="4" t="s">
        <v>34</v>
      </c>
      <c r="D87" s="4" t="s">
        <v>16</v>
      </c>
      <c r="E87" s="23" t="str">
        <f>IF(AND(IFERROR(FIND(Planned!$B$3,Vendor_STS!$C87,1),0),$A87&lt;=Planned!$I$6, $A87&gt;=Planned!$H$6), "Yes","No")</f>
        <v>Yes</v>
      </c>
      <c r="F87" s="23">
        <f t="shared" si="1"/>
        <v>270</v>
      </c>
    </row>
    <row r="88" spans="1:6" x14ac:dyDescent="0.2">
      <c r="A88" s="21">
        <v>46106</v>
      </c>
      <c r="B88" s="4">
        <v>6</v>
      </c>
      <c r="C88" s="4" t="s">
        <v>34</v>
      </c>
      <c r="D88" s="4" t="s">
        <v>16</v>
      </c>
      <c r="E88" s="23" t="str">
        <f>IF(AND(IFERROR(FIND(Planned!$B$3,Vendor_STS!$C88,1),0),$A88&lt;=Planned!$I$6, $A88&gt;=Planned!$H$6), "Yes","No")</f>
        <v>Yes</v>
      </c>
      <c r="F88" s="23">
        <f t="shared" si="1"/>
        <v>270</v>
      </c>
    </row>
    <row r="89" spans="1:6" x14ac:dyDescent="0.2">
      <c r="A89" s="21">
        <v>46107</v>
      </c>
      <c r="B89" s="4">
        <v>6</v>
      </c>
      <c r="C89" s="4" t="s">
        <v>34</v>
      </c>
      <c r="D89" s="4" t="s">
        <v>16</v>
      </c>
      <c r="E89" s="23" t="str">
        <f>IF(AND(IFERROR(FIND(Planned!$B$3,Vendor_STS!$C89,1),0),$A89&lt;=Planned!$I$6, $A89&gt;=Planned!$H$6), "Yes","No")</f>
        <v>Yes</v>
      </c>
      <c r="F89" s="23">
        <f t="shared" si="1"/>
        <v>270</v>
      </c>
    </row>
    <row r="90" spans="1:6" x14ac:dyDescent="0.2">
      <c r="A90" s="21">
        <v>46108</v>
      </c>
      <c r="B90" s="4">
        <v>6</v>
      </c>
      <c r="C90" s="4" t="s">
        <v>34</v>
      </c>
      <c r="D90" s="4" t="s">
        <v>16</v>
      </c>
      <c r="E90" s="23" t="str">
        <f>IF(AND(IFERROR(FIND(Planned!$B$3,Vendor_STS!$C90,1),0),$A90&lt;=Planned!$I$6, $A90&gt;=Planned!$H$6), "Yes","No")</f>
        <v>Yes</v>
      </c>
      <c r="F90" s="23">
        <f t="shared" si="1"/>
        <v>270</v>
      </c>
    </row>
    <row r="91" spans="1:6" x14ac:dyDescent="0.2">
      <c r="A91" s="21">
        <v>46109</v>
      </c>
      <c r="B91" s="4">
        <v>6</v>
      </c>
      <c r="C91" s="4" t="s">
        <v>34</v>
      </c>
      <c r="D91" s="4" t="s">
        <v>16</v>
      </c>
      <c r="E91" s="23" t="str">
        <f>IF(AND(IFERROR(FIND(Planned!$B$3,Vendor_STS!$C91,1),0),$A91&lt;=Planned!$I$6, $A91&gt;=Planned!$H$6), "Yes","No")</f>
        <v>Yes</v>
      </c>
      <c r="F91" s="23">
        <f t="shared" si="1"/>
        <v>270</v>
      </c>
    </row>
    <row r="92" spans="1:6" x14ac:dyDescent="0.2">
      <c r="A92" s="21">
        <v>46110</v>
      </c>
      <c r="B92" s="4">
        <v>6</v>
      </c>
      <c r="C92" s="4" t="s">
        <v>34</v>
      </c>
      <c r="D92" s="4" t="s">
        <v>16</v>
      </c>
      <c r="E92" s="23" t="str">
        <f>IF(AND(IFERROR(FIND(Planned!$B$3,Vendor_STS!$C92,1),0),$A92&lt;=Planned!$I$6, $A92&gt;=Planned!$H$6), "Yes","No")</f>
        <v>Yes</v>
      </c>
      <c r="F92" s="23">
        <f t="shared" si="1"/>
        <v>270</v>
      </c>
    </row>
    <row r="93" spans="1:6" x14ac:dyDescent="0.2">
      <c r="A93" s="21">
        <v>46111</v>
      </c>
      <c r="B93" s="4">
        <v>6</v>
      </c>
      <c r="C93" s="4" t="s">
        <v>34</v>
      </c>
      <c r="D93" s="4" t="s">
        <v>16</v>
      </c>
      <c r="E93" s="23" t="str">
        <f>IF(AND(IFERROR(FIND(Planned!$B$3,Vendor_STS!$C93,1),0),$A93&lt;=Planned!$I$6, $A93&gt;=Planned!$H$6), "Yes","No")</f>
        <v>Yes</v>
      </c>
      <c r="F93" s="23">
        <f t="shared" si="1"/>
        <v>270</v>
      </c>
    </row>
    <row r="94" spans="1:6" x14ac:dyDescent="0.2">
      <c r="A94" s="21">
        <v>46112</v>
      </c>
      <c r="B94" s="4">
        <v>6</v>
      </c>
      <c r="C94" s="4" t="s">
        <v>34</v>
      </c>
      <c r="D94" s="4" t="s">
        <v>16</v>
      </c>
      <c r="E94" s="23" t="str">
        <f>IF(AND(IFERROR(FIND(Planned!$B$3,Vendor_STS!$C94,1),0),$A94&lt;=Planned!$I$6, $A94&gt;=Planned!$H$6), "Yes","No")</f>
        <v>Yes</v>
      </c>
      <c r="F94" s="23">
        <f t="shared" si="1"/>
        <v>270</v>
      </c>
    </row>
    <row r="95" spans="1:6" x14ac:dyDescent="0.2">
      <c r="A95" s="21">
        <v>46113</v>
      </c>
      <c r="B95" s="4">
        <v>6</v>
      </c>
      <c r="C95" s="4" t="s">
        <v>34</v>
      </c>
      <c r="D95" s="4" t="s">
        <v>16</v>
      </c>
      <c r="E95" s="23" t="str">
        <f>IF(AND(IFERROR(FIND(Planned!$B$3,Vendor_STS!$C95,1),0),$A95&lt;=Planned!$I$6, $A95&gt;=Planned!$H$6), "Yes","No")</f>
        <v>No</v>
      </c>
      <c r="F95" s="23">
        <f t="shared" si="1"/>
        <v>270</v>
      </c>
    </row>
    <row r="96" spans="1:6" x14ac:dyDescent="0.2">
      <c r="A96" s="21">
        <v>46114</v>
      </c>
      <c r="B96" s="4">
        <v>6</v>
      </c>
      <c r="C96" s="4" t="s">
        <v>34</v>
      </c>
      <c r="D96" s="4" t="s">
        <v>16</v>
      </c>
      <c r="E96" s="23" t="str">
        <f>IF(AND(IFERROR(FIND(Planned!$B$3,Vendor_STS!$C96,1),0),$A96&lt;=Planned!$I$6, $A96&gt;=Planned!$H$6), "Yes","No")</f>
        <v>No</v>
      </c>
      <c r="F96" s="23">
        <f t="shared" si="1"/>
        <v>270</v>
      </c>
    </row>
    <row r="97" spans="1:6" x14ac:dyDescent="0.2">
      <c r="A97" s="21">
        <v>46115</v>
      </c>
      <c r="B97" s="4">
        <v>6</v>
      </c>
      <c r="C97" s="4" t="s">
        <v>34</v>
      </c>
      <c r="D97" s="4" t="s">
        <v>16</v>
      </c>
      <c r="E97" s="23" t="str">
        <f>IF(AND(IFERROR(FIND(Planned!$B$3,Vendor_STS!$C97,1),0),$A97&lt;=Planned!$I$6, $A97&gt;=Planned!$H$6), "Yes","No")</f>
        <v>No</v>
      </c>
      <c r="F97" s="23">
        <f t="shared" si="1"/>
        <v>270</v>
      </c>
    </row>
    <row r="98" spans="1:6" x14ac:dyDescent="0.2">
      <c r="A98" s="21">
        <v>46116</v>
      </c>
      <c r="B98" s="4">
        <v>6</v>
      </c>
      <c r="C98" s="4" t="s">
        <v>34</v>
      </c>
      <c r="D98" s="4" t="s">
        <v>16</v>
      </c>
      <c r="E98" s="23" t="str">
        <f>IF(AND(IFERROR(FIND(Planned!$B$3,Vendor_STS!$C98,1),0),$A98&lt;=Planned!$I$6, $A98&gt;=Planned!$H$6), "Yes","No")</f>
        <v>No</v>
      </c>
      <c r="F98" s="23">
        <f t="shared" si="1"/>
        <v>270</v>
      </c>
    </row>
    <row r="99" spans="1:6" x14ac:dyDescent="0.2">
      <c r="A99" s="21">
        <v>46117</v>
      </c>
      <c r="B99" s="4">
        <v>6</v>
      </c>
      <c r="C99" s="4" t="s">
        <v>34</v>
      </c>
      <c r="D99" s="4" t="s">
        <v>16</v>
      </c>
      <c r="E99" s="23" t="str">
        <f>IF(AND(IFERROR(FIND(Planned!$B$3,Vendor_STS!$C99,1),0),$A99&lt;=Planned!$I$6, $A99&gt;=Planned!$H$6), "Yes","No")</f>
        <v>No</v>
      </c>
      <c r="F99" s="23">
        <f t="shared" si="1"/>
        <v>270</v>
      </c>
    </row>
    <row r="100" spans="1:6" x14ac:dyDescent="0.2">
      <c r="A100" s="21"/>
    </row>
    <row r="101" spans="1:6" x14ac:dyDescent="0.2">
      <c r="A101" s="21"/>
    </row>
    <row r="102" spans="1:6" x14ac:dyDescent="0.2">
      <c r="A102" s="21"/>
    </row>
    <row r="103" spans="1:6" x14ac:dyDescent="0.2">
      <c r="A103" s="21"/>
    </row>
    <row r="104" spans="1:6" x14ac:dyDescent="0.2">
      <c r="A104" s="21"/>
    </row>
    <row r="105" spans="1:6" x14ac:dyDescent="0.2">
      <c r="A105" s="21"/>
    </row>
    <row r="106" spans="1:6" x14ac:dyDescent="0.2">
      <c r="A106" s="21"/>
    </row>
    <row r="107" spans="1:6" x14ac:dyDescent="0.2">
      <c r="A107" s="21"/>
    </row>
    <row r="108" spans="1:6" x14ac:dyDescent="0.2">
      <c r="A108" s="21"/>
    </row>
    <row r="109" spans="1:6" x14ac:dyDescent="0.2">
      <c r="A109" s="21"/>
    </row>
    <row r="110" spans="1:6" x14ac:dyDescent="0.2">
      <c r="A110" s="21"/>
    </row>
    <row r="111" spans="1:6" x14ac:dyDescent="0.2">
      <c r="A111" s="21"/>
    </row>
    <row r="112" spans="1:6" x14ac:dyDescent="0.2">
      <c r="A112" s="21"/>
    </row>
    <row r="113" spans="1:1" x14ac:dyDescent="0.2">
      <c r="A113" s="21"/>
    </row>
    <row r="114" spans="1:1" x14ac:dyDescent="0.2">
      <c r="A114" s="21"/>
    </row>
    <row r="115" spans="1:1" x14ac:dyDescent="0.2">
      <c r="A115" s="21"/>
    </row>
    <row r="116" spans="1:1" x14ac:dyDescent="0.2">
      <c r="A116" s="21"/>
    </row>
    <row r="117" spans="1:1" x14ac:dyDescent="0.2">
      <c r="A117" s="21"/>
    </row>
    <row r="118" spans="1:1" x14ac:dyDescent="0.2">
      <c r="A118" s="21"/>
    </row>
    <row r="119" spans="1:1" x14ac:dyDescent="0.2">
      <c r="A119" s="21"/>
    </row>
    <row r="120" spans="1:1" x14ac:dyDescent="0.2">
      <c r="A120" s="21"/>
    </row>
    <row r="121" spans="1:1" x14ac:dyDescent="0.2">
      <c r="A121" s="21"/>
    </row>
    <row r="122" spans="1:1" x14ac:dyDescent="0.2">
      <c r="A122" s="21"/>
    </row>
    <row r="123" spans="1:1" x14ac:dyDescent="0.2">
      <c r="A123" s="21"/>
    </row>
    <row r="124" spans="1:1" x14ac:dyDescent="0.2">
      <c r="A124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60A72-E38E-4070-8D33-4DCFE1B078AC}">
  <sheetPr filterMode="1">
    <tabColor theme="0" tint="-0.14999847407452621"/>
  </sheetPr>
  <dimension ref="A1:H128"/>
  <sheetViews>
    <sheetView workbookViewId="0">
      <selection activeCell="C7" sqref="C7"/>
    </sheetView>
  </sheetViews>
  <sheetFormatPr baseColWidth="10" defaultColWidth="8.6640625" defaultRowHeight="15" x14ac:dyDescent="0.2"/>
  <cols>
    <col min="1" max="3" width="8.6640625" style="4"/>
    <col min="4" max="4" width="39.83203125" style="4" customWidth="1"/>
    <col min="5" max="5" width="18.5" style="4" customWidth="1"/>
    <col min="6" max="6" width="11.6640625" style="4" customWidth="1"/>
    <col min="7" max="7" width="15.5" style="4" customWidth="1"/>
    <col min="8" max="16384" width="8.6640625" style="4"/>
  </cols>
  <sheetData>
    <row r="1" spans="1:8" x14ac:dyDescent="0.2">
      <c r="A1" s="4" t="s">
        <v>2</v>
      </c>
      <c r="C1" s="4" t="s">
        <v>20</v>
      </c>
      <c r="D1" s="17" t="s">
        <v>21</v>
      </c>
      <c r="E1" s="4" t="s">
        <v>22</v>
      </c>
      <c r="F1" s="17" t="s">
        <v>56</v>
      </c>
      <c r="G1" s="23" cm="1">
        <f t="array" ref="G1">_xlfn.XLOOKUP(1, (Planned!$B$19:$B$22=Vendor_RTA!$E$1) * (Planned!$C$19:$C$22=Vendor_RTA!$C2), Planned!$D$19:$D$22)</f>
        <v>65</v>
      </c>
      <c r="H1" s="4" t="s">
        <v>58</v>
      </c>
    </row>
    <row r="2" spans="1:8" x14ac:dyDescent="0.2">
      <c r="A2" s="17" t="s">
        <v>37</v>
      </c>
      <c r="B2" s="17"/>
      <c r="C2" s="4" t="s">
        <v>39</v>
      </c>
      <c r="G2" s="4">
        <f>G1-5</f>
        <v>60</v>
      </c>
      <c r="H2" s="4" t="s">
        <v>78</v>
      </c>
    </row>
    <row r="3" spans="1:8" x14ac:dyDescent="0.2">
      <c r="A3" s="17"/>
      <c r="B3" s="17"/>
      <c r="D3" s="4" t="s">
        <v>82</v>
      </c>
      <c r="E3" s="4" t="s">
        <v>79</v>
      </c>
      <c r="F3" s="4" t="s">
        <v>80</v>
      </c>
    </row>
    <row r="4" spans="1:8" x14ac:dyDescent="0.2">
      <c r="A4" s="17"/>
      <c r="B4" s="17"/>
      <c r="D4" s="4">
        <v>1</v>
      </c>
      <c r="E4" s="4">
        <f>SUMIFS(C:C,B:B,1)</f>
        <v>127</v>
      </c>
      <c r="F4" s="4">
        <f>IF(E4&gt;50,$G$2,$G$1)</f>
        <v>60</v>
      </c>
    </row>
    <row r="5" spans="1:8" x14ac:dyDescent="0.2">
      <c r="A5" s="17"/>
      <c r="B5" s="17"/>
      <c r="D5" s="4">
        <v>2</v>
      </c>
      <c r="E5" s="4">
        <f>SUMIFS(C:C,B:B,2)</f>
        <v>112</v>
      </c>
      <c r="F5" s="4">
        <f t="shared" ref="F5:F6" si="0">IF(E5&gt;50,$G$2,$G$1)</f>
        <v>60</v>
      </c>
    </row>
    <row r="6" spans="1:8" x14ac:dyDescent="0.2">
      <c r="A6" s="17"/>
      <c r="B6" s="17"/>
      <c r="D6" s="4">
        <v>3</v>
      </c>
      <c r="E6" s="4">
        <f>SUMIFS(C:C,B:B,3)</f>
        <v>124</v>
      </c>
      <c r="F6" s="4">
        <f t="shared" si="0"/>
        <v>60</v>
      </c>
    </row>
    <row r="8" spans="1:8" x14ac:dyDescent="0.2">
      <c r="A8" s="24"/>
      <c r="B8" s="24" t="s">
        <v>81</v>
      </c>
      <c r="C8" s="24" t="s">
        <v>23</v>
      </c>
      <c r="D8" s="24" t="s">
        <v>24</v>
      </c>
      <c r="E8" s="24" t="s">
        <v>25</v>
      </c>
      <c r="F8" s="3" t="s">
        <v>49</v>
      </c>
      <c r="G8" s="3" t="s">
        <v>57</v>
      </c>
    </row>
    <row r="9" spans="1:8" hidden="1" x14ac:dyDescent="0.2">
      <c r="A9" s="21">
        <v>46023</v>
      </c>
      <c r="B9" s="41">
        <f>MONTH(A9)</f>
        <v>1</v>
      </c>
      <c r="C9" s="4">
        <v>6</v>
      </c>
      <c r="D9" s="4" t="s">
        <v>26</v>
      </c>
      <c r="E9" s="4" t="s">
        <v>16</v>
      </c>
      <c r="F9" s="23" t="str">
        <f>IF(AND(IFERROR(FIND(Planned!$B$3,Vendor_RTA!$D9,1),0),$A9&lt;=Planned!$I$6, $A9&gt;=Planned!$H$6), "Yes","No")</f>
        <v>Yes</v>
      </c>
      <c r="G9" s="42">
        <f>C9*VLOOKUP($B9,$D$4:$F$6,3)</f>
        <v>360</v>
      </c>
    </row>
    <row r="10" spans="1:8" hidden="1" x14ac:dyDescent="0.2">
      <c r="A10" s="21">
        <v>46024</v>
      </c>
      <c r="B10" s="41">
        <f t="shared" ref="B10:B73" si="1">MONTH(A10)</f>
        <v>1</v>
      </c>
      <c r="C10" s="4">
        <v>5</v>
      </c>
      <c r="D10" s="4" t="s">
        <v>26</v>
      </c>
      <c r="E10" s="4" t="s">
        <v>16</v>
      </c>
      <c r="F10" s="23" t="str">
        <f>IF(AND(IFERROR(FIND(Planned!$B$3,Vendor_RTA!$D10,1),0),$A10&lt;=Planned!$I$6, $A10&gt;=Planned!$H$6), "Yes","No")</f>
        <v>Yes</v>
      </c>
      <c r="G10" s="42">
        <f t="shared" ref="G10:G73" si="2">C10*VLOOKUP($B10,$D$4:$F$6,3)</f>
        <v>300</v>
      </c>
    </row>
    <row r="11" spans="1:8" hidden="1" x14ac:dyDescent="0.2">
      <c r="A11" s="21">
        <v>46025</v>
      </c>
      <c r="B11" s="41">
        <f t="shared" si="1"/>
        <v>1</v>
      </c>
      <c r="C11" s="4">
        <v>4</v>
      </c>
      <c r="D11" s="4" t="s">
        <v>26</v>
      </c>
      <c r="E11" s="4" t="s">
        <v>16</v>
      </c>
      <c r="F11" s="23" t="str">
        <f>IF(AND(IFERROR(FIND(Planned!$B$3,Vendor_RTA!$D11,1),0),$A11&lt;=Planned!$I$6, $A11&gt;=Planned!$H$6), "Yes","No")</f>
        <v>Yes</v>
      </c>
      <c r="G11" s="42">
        <f t="shared" si="2"/>
        <v>240</v>
      </c>
    </row>
    <row r="12" spans="1:8" hidden="1" x14ac:dyDescent="0.2">
      <c r="A12" s="21">
        <v>46026</v>
      </c>
      <c r="B12" s="41">
        <f t="shared" si="1"/>
        <v>1</v>
      </c>
      <c r="C12" s="4">
        <v>4</v>
      </c>
      <c r="D12" s="4" t="s">
        <v>26</v>
      </c>
      <c r="E12" s="4" t="s">
        <v>16</v>
      </c>
      <c r="F12" s="23" t="str">
        <f>IF(AND(IFERROR(FIND(Planned!$B$3,Vendor_RTA!$D12,1),0),$A12&lt;=Planned!$I$6, $A12&gt;=Planned!$H$6), "Yes","No")</f>
        <v>Yes</v>
      </c>
      <c r="G12" s="42">
        <f t="shared" si="2"/>
        <v>240</v>
      </c>
    </row>
    <row r="13" spans="1:8" hidden="1" x14ac:dyDescent="0.2">
      <c r="A13" s="21">
        <v>46027</v>
      </c>
      <c r="B13" s="41">
        <f t="shared" si="1"/>
        <v>1</v>
      </c>
      <c r="C13" s="4">
        <v>4</v>
      </c>
      <c r="D13" s="4" t="s">
        <v>26</v>
      </c>
      <c r="E13" s="4" t="s">
        <v>16</v>
      </c>
      <c r="F13" s="23" t="str">
        <f>IF(AND(IFERROR(FIND(Planned!$B$3,Vendor_RTA!$D13,1),0),$A13&lt;=Planned!$I$6, $A13&gt;=Planned!$H$6), "Yes","No")</f>
        <v>Yes</v>
      </c>
      <c r="G13" s="42">
        <f t="shared" si="2"/>
        <v>240</v>
      </c>
    </row>
    <row r="14" spans="1:8" hidden="1" x14ac:dyDescent="0.2">
      <c r="A14" s="21">
        <v>46028</v>
      </c>
      <c r="B14" s="41">
        <f t="shared" si="1"/>
        <v>1</v>
      </c>
      <c r="C14" s="4">
        <v>4</v>
      </c>
      <c r="D14" s="4" t="s">
        <v>26</v>
      </c>
      <c r="E14" s="4" t="s">
        <v>16</v>
      </c>
      <c r="F14" s="23" t="str">
        <f>IF(AND(IFERROR(FIND(Planned!$B$3,Vendor_RTA!$D14,1),0),$A14&lt;=Planned!$I$6, $A14&gt;=Planned!$H$6), "Yes","No")</f>
        <v>Yes</v>
      </c>
      <c r="G14" s="42">
        <f t="shared" si="2"/>
        <v>240</v>
      </c>
    </row>
    <row r="15" spans="1:8" hidden="1" x14ac:dyDescent="0.2">
      <c r="A15" s="21">
        <v>46029</v>
      </c>
      <c r="B15" s="41">
        <f t="shared" si="1"/>
        <v>1</v>
      </c>
      <c r="C15" s="4">
        <v>4</v>
      </c>
      <c r="D15" s="4" t="s">
        <v>26</v>
      </c>
      <c r="E15" s="4" t="s">
        <v>16</v>
      </c>
      <c r="F15" s="23" t="str">
        <f>IF(AND(IFERROR(FIND(Planned!$B$3,Vendor_RTA!$D15,1),0),$A15&lt;=Planned!$I$6, $A15&gt;=Planned!$H$6), "Yes","No")</f>
        <v>Yes</v>
      </c>
      <c r="G15" s="42">
        <f t="shared" si="2"/>
        <v>240</v>
      </c>
    </row>
    <row r="16" spans="1:8" hidden="1" x14ac:dyDescent="0.2">
      <c r="A16" s="21">
        <v>46030</v>
      </c>
      <c r="B16" s="41">
        <f t="shared" si="1"/>
        <v>1</v>
      </c>
      <c r="C16" s="4">
        <v>4</v>
      </c>
      <c r="D16" s="4" t="s">
        <v>26</v>
      </c>
      <c r="E16" s="4" t="s">
        <v>16</v>
      </c>
      <c r="F16" s="23" t="str">
        <f>IF(AND(IFERROR(FIND(Planned!$B$3,Vendor_RTA!$D16,1),0),$A16&lt;=Planned!$I$6, $A16&gt;=Planned!$H$6), "Yes","No")</f>
        <v>Yes</v>
      </c>
      <c r="G16" s="42">
        <f t="shared" si="2"/>
        <v>240</v>
      </c>
    </row>
    <row r="17" spans="1:7" hidden="1" x14ac:dyDescent="0.2">
      <c r="A17" s="21">
        <v>46031</v>
      </c>
      <c r="B17" s="41">
        <f t="shared" si="1"/>
        <v>1</v>
      </c>
      <c r="C17" s="4">
        <v>4</v>
      </c>
      <c r="D17" s="4" t="s">
        <v>26</v>
      </c>
      <c r="E17" s="4" t="s">
        <v>16</v>
      </c>
      <c r="F17" s="23" t="str">
        <f>IF(AND(IFERROR(FIND(Planned!$B$3,Vendor_RTA!$D17,1),0),$A17&lt;=Planned!$I$6, $A17&gt;=Planned!$H$6), "Yes","No")</f>
        <v>Yes</v>
      </c>
      <c r="G17" s="42">
        <f t="shared" si="2"/>
        <v>240</v>
      </c>
    </row>
    <row r="18" spans="1:7" hidden="1" x14ac:dyDescent="0.2">
      <c r="A18" s="21">
        <v>46032</v>
      </c>
      <c r="B18" s="41">
        <f t="shared" si="1"/>
        <v>1</v>
      </c>
      <c r="C18" s="4">
        <v>4</v>
      </c>
      <c r="D18" s="4" t="s">
        <v>26</v>
      </c>
      <c r="E18" s="4" t="s">
        <v>16</v>
      </c>
      <c r="F18" s="23" t="str">
        <f>IF(AND(IFERROR(FIND(Planned!$B$3,Vendor_RTA!$D18,1),0),$A18&lt;=Planned!$I$6, $A18&gt;=Planned!$H$6), "Yes","No")</f>
        <v>Yes</v>
      </c>
      <c r="G18" s="42">
        <f t="shared" si="2"/>
        <v>240</v>
      </c>
    </row>
    <row r="19" spans="1:7" hidden="1" x14ac:dyDescent="0.2">
      <c r="A19" s="21">
        <v>46033</v>
      </c>
      <c r="B19" s="41">
        <f t="shared" si="1"/>
        <v>1</v>
      </c>
      <c r="C19" s="4">
        <v>4</v>
      </c>
      <c r="D19" s="4" t="s">
        <v>26</v>
      </c>
      <c r="E19" s="4" t="s">
        <v>16</v>
      </c>
      <c r="F19" s="23" t="str">
        <f>IF(AND(IFERROR(FIND(Planned!$B$3,Vendor_RTA!$D19,1),0),$A19&lt;=Planned!$I$6, $A19&gt;=Planned!$H$6), "Yes","No")</f>
        <v>Yes</v>
      </c>
      <c r="G19" s="42">
        <f t="shared" si="2"/>
        <v>240</v>
      </c>
    </row>
    <row r="20" spans="1:7" hidden="1" x14ac:dyDescent="0.2">
      <c r="A20" s="21">
        <v>46034</v>
      </c>
      <c r="B20" s="41">
        <f t="shared" si="1"/>
        <v>1</v>
      </c>
      <c r="C20" s="4">
        <v>4</v>
      </c>
      <c r="D20" s="4" t="s">
        <v>26</v>
      </c>
      <c r="E20" s="4" t="s">
        <v>16</v>
      </c>
      <c r="F20" s="23" t="str">
        <f>IF(AND(IFERROR(FIND(Planned!$B$3,Vendor_RTA!$D20,1),0),$A20&lt;=Planned!$I$6, $A20&gt;=Planned!$H$6), "Yes","No")</f>
        <v>Yes</v>
      </c>
      <c r="G20" s="42">
        <f t="shared" si="2"/>
        <v>240</v>
      </c>
    </row>
    <row r="21" spans="1:7" hidden="1" x14ac:dyDescent="0.2">
      <c r="A21" s="21">
        <v>46035</v>
      </c>
      <c r="B21" s="41">
        <f t="shared" si="1"/>
        <v>1</v>
      </c>
      <c r="C21" s="4">
        <v>4</v>
      </c>
      <c r="D21" s="4" t="s">
        <v>26</v>
      </c>
      <c r="E21" s="4" t="s">
        <v>16</v>
      </c>
      <c r="F21" s="23" t="str">
        <f>IF(AND(IFERROR(FIND(Planned!$B$3,Vendor_RTA!$D21,1),0),$A21&lt;=Planned!$I$6, $A21&gt;=Planned!$H$6), "Yes","No")</f>
        <v>Yes</v>
      </c>
      <c r="G21" s="42">
        <f t="shared" si="2"/>
        <v>240</v>
      </c>
    </row>
    <row r="22" spans="1:7" hidden="1" x14ac:dyDescent="0.2">
      <c r="A22" s="21">
        <v>46036</v>
      </c>
      <c r="B22" s="41">
        <f t="shared" si="1"/>
        <v>1</v>
      </c>
      <c r="C22" s="4">
        <v>4</v>
      </c>
      <c r="D22" s="4" t="s">
        <v>26</v>
      </c>
      <c r="E22" s="4" t="s">
        <v>16</v>
      </c>
      <c r="F22" s="23" t="str">
        <f>IF(AND(IFERROR(FIND(Planned!$B$3,Vendor_RTA!$D22,1),0),$A22&lt;=Planned!$I$6, $A22&gt;=Planned!$H$6), "Yes","No")</f>
        <v>Yes</v>
      </c>
      <c r="G22" s="42">
        <f t="shared" si="2"/>
        <v>240</v>
      </c>
    </row>
    <row r="23" spans="1:7" hidden="1" x14ac:dyDescent="0.2">
      <c r="A23" s="21">
        <v>46037</v>
      </c>
      <c r="B23" s="41">
        <f t="shared" si="1"/>
        <v>1</v>
      </c>
      <c r="C23" s="4">
        <v>4</v>
      </c>
      <c r="D23" s="4" t="s">
        <v>26</v>
      </c>
      <c r="E23" s="4" t="s">
        <v>16</v>
      </c>
      <c r="F23" s="23" t="str">
        <f>IF(AND(IFERROR(FIND(Planned!$B$3,Vendor_RTA!$D23,1),0),$A23&lt;=Planned!$I$6, $A23&gt;=Planned!$H$6), "Yes","No")</f>
        <v>Yes</v>
      </c>
      <c r="G23" s="42">
        <f t="shared" si="2"/>
        <v>240</v>
      </c>
    </row>
    <row r="24" spans="1:7" hidden="1" x14ac:dyDescent="0.2">
      <c r="A24" s="21">
        <v>46038</v>
      </c>
      <c r="B24" s="41">
        <f t="shared" si="1"/>
        <v>1</v>
      </c>
      <c r="C24" s="4">
        <v>4</v>
      </c>
      <c r="D24" s="4" t="s">
        <v>26</v>
      </c>
      <c r="E24" s="4" t="s">
        <v>16</v>
      </c>
      <c r="F24" s="23" t="str">
        <f>IF(AND(IFERROR(FIND(Planned!$B$3,Vendor_RTA!$D24,1),0),$A24&lt;=Planned!$I$6, $A24&gt;=Planned!$H$6), "Yes","No")</f>
        <v>Yes</v>
      </c>
      <c r="G24" s="42">
        <f t="shared" si="2"/>
        <v>240</v>
      </c>
    </row>
    <row r="25" spans="1:7" hidden="1" x14ac:dyDescent="0.2">
      <c r="A25" s="21">
        <v>46039</v>
      </c>
      <c r="B25" s="41">
        <f t="shared" si="1"/>
        <v>1</v>
      </c>
      <c r="C25" s="4">
        <v>4</v>
      </c>
      <c r="D25" s="4" t="s">
        <v>26</v>
      </c>
      <c r="E25" s="4" t="s">
        <v>16</v>
      </c>
      <c r="F25" s="23" t="str">
        <f>IF(AND(IFERROR(FIND(Planned!$B$3,Vendor_RTA!$D25,1),0),$A25&lt;=Planned!$I$6, $A25&gt;=Planned!$H$6), "Yes","No")</f>
        <v>Yes</v>
      </c>
      <c r="G25" s="42">
        <f t="shared" si="2"/>
        <v>240</v>
      </c>
    </row>
    <row r="26" spans="1:7" hidden="1" x14ac:dyDescent="0.2">
      <c r="A26" s="21">
        <v>46040</v>
      </c>
      <c r="B26" s="41">
        <f t="shared" si="1"/>
        <v>1</v>
      </c>
      <c r="C26" s="4">
        <v>4</v>
      </c>
      <c r="D26" s="4" t="s">
        <v>27</v>
      </c>
      <c r="E26" s="4" t="s">
        <v>16</v>
      </c>
      <c r="F26" s="23" t="str">
        <f>IF(AND(IFERROR(FIND(Planned!$B$3,Vendor_RTA!$D26,1),0),$A26&lt;=Planned!$I$6, $A26&gt;=Planned!$H$6), "Yes","No")</f>
        <v>No</v>
      </c>
      <c r="G26" s="42">
        <f t="shared" si="2"/>
        <v>240</v>
      </c>
    </row>
    <row r="27" spans="1:7" hidden="1" x14ac:dyDescent="0.2">
      <c r="A27" s="21">
        <v>46041</v>
      </c>
      <c r="B27" s="41">
        <f t="shared" si="1"/>
        <v>1</v>
      </c>
      <c r="C27" s="4">
        <v>4</v>
      </c>
      <c r="D27" s="4" t="s">
        <v>27</v>
      </c>
      <c r="E27" s="4" t="s">
        <v>16</v>
      </c>
      <c r="F27" s="23" t="str">
        <f>IF(AND(IFERROR(FIND(Planned!$B$3,Vendor_RTA!$D27,1),0),$A27&lt;=Planned!$I$6, $A27&gt;=Planned!$H$6), "Yes","No")</f>
        <v>No</v>
      </c>
      <c r="G27" s="42">
        <f t="shared" si="2"/>
        <v>240</v>
      </c>
    </row>
    <row r="28" spans="1:7" hidden="1" x14ac:dyDescent="0.2">
      <c r="A28" s="21">
        <v>46042</v>
      </c>
      <c r="B28" s="41">
        <f t="shared" si="1"/>
        <v>1</v>
      </c>
      <c r="C28" s="4">
        <v>4</v>
      </c>
      <c r="D28" s="4" t="s">
        <v>28</v>
      </c>
      <c r="E28" s="4" t="s">
        <v>16</v>
      </c>
      <c r="F28" s="23" t="str">
        <f>IF(AND(IFERROR(FIND(Planned!$B$3,Vendor_RTA!$D28,1),0),$A28&lt;=Planned!$I$6, $A28&gt;=Planned!$H$6), "Yes","No")</f>
        <v>Yes</v>
      </c>
      <c r="G28" s="42">
        <f t="shared" si="2"/>
        <v>240</v>
      </c>
    </row>
    <row r="29" spans="1:7" hidden="1" x14ac:dyDescent="0.2">
      <c r="A29" s="21">
        <v>46043</v>
      </c>
      <c r="B29" s="41">
        <f t="shared" si="1"/>
        <v>1</v>
      </c>
      <c r="C29" s="4">
        <v>4</v>
      </c>
      <c r="D29" s="4" t="s">
        <v>28</v>
      </c>
      <c r="E29" s="4" t="s">
        <v>16</v>
      </c>
      <c r="F29" s="23" t="str">
        <f>IF(AND(IFERROR(FIND(Planned!$B$3,Vendor_RTA!$D29,1),0),$A29&lt;=Planned!$I$6, $A29&gt;=Planned!$H$6), "Yes","No")</f>
        <v>Yes</v>
      </c>
      <c r="G29" s="42">
        <f t="shared" si="2"/>
        <v>240</v>
      </c>
    </row>
    <row r="30" spans="1:7" hidden="1" x14ac:dyDescent="0.2">
      <c r="A30" s="21">
        <v>46044</v>
      </c>
      <c r="B30" s="41">
        <f t="shared" si="1"/>
        <v>1</v>
      </c>
      <c r="C30" s="4">
        <v>4</v>
      </c>
      <c r="D30" s="4" t="s">
        <v>28</v>
      </c>
      <c r="E30" s="4" t="s">
        <v>16</v>
      </c>
      <c r="F30" s="23" t="str">
        <f>IF(AND(IFERROR(FIND(Planned!$B$3,Vendor_RTA!$D30,1),0),$A30&lt;=Planned!$I$6, $A30&gt;=Planned!$H$6), "Yes","No")</f>
        <v>Yes</v>
      </c>
      <c r="G30" s="42">
        <f t="shared" si="2"/>
        <v>240</v>
      </c>
    </row>
    <row r="31" spans="1:7" hidden="1" x14ac:dyDescent="0.2">
      <c r="A31" s="21">
        <v>46045</v>
      </c>
      <c r="B31" s="41">
        <f t="shared" si="1"/>
        <v>1</v>
      </c>
      <c r="C31" s="4">
        <v>4</v>
      </c>
      <c r="D31" s="4" t="s">
        <v>28</v>
      </c>
      <c r="E31" s="4" t="s">
        <v>16</v>
      </c>
      <c r="F31" s="23" t="str">
        <f>IF(AND(IFERROR(FIND(Planned!$B$3,Vendor_RTA!$D31,1),0),$A31&lt;=Planned!$I$6, $A31&gt;=Planned!$H$6), "Yes","No")</f>
        <v>Yes</v>
      </c>
      <c r="G31" s="42">
        <f t="shared" si="2"/>
        <v>240</v>
      </c>
    </row>
    <row r="32" spans="1:7" hidden="1" x14ac:dyDescent="0.2">
      <c r="A32" s="21">
        <v>46046</v>
      </c>
      <c r="B32" s="41">
        <f t="shared" si="1"/>
        <v>1</v>
      </c>
      <c r="C32" s="4">
        <v>4</v>
      </c>
      <c r="D32" s="4" t="s">
        <v>27</v>
      </c>
      <c r="E32" s="4" t="s">
        <v>16</v>
      </c>
      <c r="F32" s="23" t="str">
        <f>IF(AND(IFERROR(FIND(Planned!$B$3,Vendor_RTA!$D32,1),0),$A32&lt;=Planned!$I$6, $A32&gt;=Planned!$H$6), "Yes","No")</f>
        <v>No</v>
      </c>
      <c r="G32" s="42">
        <f t="shared" si="2"/>
        <v>240</v>
      </c>
    </row>
    <row r="33" spans="1:7" hidden="1" x14ac:dyDescent="0.2">
      <c r="A33" s="21">
        <v>46047</v>
      </c>
      <c r="B33" s="41">
        <f t="shared" si="1"/>
        <v>1</v>
      </c>
      <c r="C33" s="4">
        <v>4</v>
      </c>
      <c r="D33" s="4" t="s">
        <v>27</v>
      </c>
      <c r="E33" s="4" t="s">
        <v>16</v>
      </c>
      <c r="F33" s="23" t="str">
        <f>IF(AND(IFERROR(FIND(Planned!$B$3,Vendor_RTA!$D33,1),0),$A33&lt;=Planned!$I$6, $A33&gt;=Planned!$H$6), "Yes","No")</f>
        <v>No</v>
      </c>
      <c r="G33" s="42">
        <f t="shared" si="2"/>
        <v>240</v>
      </c>
    </row>
    <row r="34" spans="1:7" hidden="1" x14ac:dyDescent="0.2">
      <c r="A34" s="21">
        <v>46048</v>
      </c>
      <c r="B34" s="41">
        <f t="shared" si="1"/>
        <v>1</v>
      </c>
      <c r="C34" s="4">
        <v>4</v>
      </c>
      <c r="D34" s="4" t="s">
        <v>28</v>
      </c>
      <c r="E34" s="4" t="s">
        <v>16</v>
      </c>
      <c r="F34" s="23" t="str">
        <f>IF(AND(IFERROR(FIND(Planned!$B$3,Vendor_RTA!$D34,1),0),$A34&lt;=Planned!$I$6, $A34&gt;=Planned!$H$6), "Yes","No")</f>
        <v>Yes</v>
      </c>
      <c r="G34" s="42">
        <f t="shared" si="2"/>
        <v>240</v>
      </c>
    </row>
    <row r="35" spans="1:7" hidden="1" x14ac:dyDescent="0.2">
      <c r="A35" s="21">
        <v>46049</v>
      </c>
      <c r="B35" s="41">
        <f t="shared" si="1"/>
        <v>1</v>
      </c>
      <c r="C35" s="4">
        <v>4</v>
      </c>
      <c r="D35" s="4" t="s">
        <v>28</v>
      </c>
      <c r="E35" s="4" t="s">
        <v>16</v>
      </c>
      <c r="F35" s="23" t="str">
        <f>IF(AND(IFERROR(FIND(Planned!$B$3,Vendor_RTA!$D35,1),0),$A35&lt;=Planned!$I$6, $A35&gt;=Planned!$H$6), "Yes","No")</f>
        <v>Yes</v>
      </c>
      <c r="G35" s="42">
        <f t="shared" si="2"/>
        <v>240</v>
      </c>
    </row>
    <row r="36" spans="1:7" hidden="1" x14ac:dyDescent="0.2">
      <c r="A36" s="21">
        <v>46050</v>
      </c>
      <c r="B36" s="41">
        <f t="shared" si="1"/>
        <v>1</v>
      </c>
      <c r="C36" s="4">
        <v>4</v>
      </c>
      <c r="D36" s="4" t="s">
        <v>28</v>
      </c>
      <c r="E36" s="4" t="s">
        <v>16</v>
      </c>
      <c r="F36" s="23" t="str">
        <f>IF(AND(IFERROR(FIND(Planned!$B$3,Vendor_RTA!$D36,1),0),$A36&lt;=Planned!$I$6, $A36&gt;=Planned!$H$6), "Yes","No")</f>
        <v>Yes</v>
      </c>
      <c r="G36" s="42">
        <f t="shared" si="2"/>
        <v>240</v>
      </c>
    </row>
    <row r="37" spans="1:7" hidden="1" x14ac:dyDescent="0.2">
      <c r="A37" s="21">
        <v>46051</v>
      </c>
      <c r="B37" s="41">
        <f t="shared" si="1"/>
        <v>1</v>
      </c>
      <c r="C37" s="4">
        <v>4</v>
      </c>
      <c r="D37" s="4" t="s">
        <v>28</v>
      </c>
      <c r="E37" s="4" t="s">
        <v>16</v>
      </c>
      <c r="F37" s="23" t="str">
        <f>IF(AND(IFERROR(FIND(Planned!$B$3,Vendor_RTA!$D37,1),0),$A37&lt;=Planned!$I$6, $A37&gt;=Planned!$H$6), "Yes","No")</f>
        <v>Yes</v>
      </c>
      <c r="G37" s="42">
        <f t="shared" si="2"/>
        <v>240</v>
      </c>
    </row>
    <row r="38" spans="1:7" hidden="1" x14ac:dyDescent="0.2">
      <c r="A38" s="21">
        <v>46052</v>
      </c>
      <c r="B38" s="41">
        <f t="shared" si="1"/>
        <v>1</v>
      </c>
      <c r="C38" s="4">
        <v>4</v>
      </c>
      <c r="D38" s="4" t="s">
        <v>28</v>
      </c>
      <c r="E38" s="4" t="s">
        <v>16</v>
      </c>
      <c r="F38" s="23" t="str">
        <f>IF(AND(IFERROR(FIND(Planned!$B$3,Vendor_RTA!$D38,1),0),$A38&lt;=Planned!$I$6, $A38&gt;=Planned!$H$6), "Yes","No")</f>
        <v>Yes</v>
      </c>
      <c r="G38" s="42">
        <f t="shared" si="2"/>
        <v>240</v>
      </c>
    </row>
    <row r="39" spans="1:7" hidden="1" x14ac:dyDescent="0.2">
      <c r="A39" s="21">
        <v>46053</v>
      </c>
      <c r="B39" s="41">
        <f t="shared" si="1"/>
        <v>1</v>
      </c>
      <c r="C39" s="4">
        <v>4</v>
      </c>
      <c r="D39" s="4" t="s">
        <v>28</v>
      </c>
      <c r="E39" s="4" t="s">
        <v>16</v>
      </c>
      <c r="F39" s="23" t="str">
        <f>IF(AND(IFERROR(FIND(Planned!$B$3,Vendor_RTA!$D39,1),0),$A39&lt;=Planned!$I$6, $A39&gt;=Planned!$H$6), "Yes","No")</f>
        <v>Yes</v>
      </c>
      <c r="G39" s="42">
        <f t="shared" si="2"/>
        <v>240</v>
      </c>
    </row>
    <row r="40" spans="1:7" hidden="1" x14ac:dyDescent="0.2">
      <c r="A40" s="21">
        <v>46054</v>
      </c>
      <c r="B40" s="41">
        <f t="shared" si="1"/>
        <v>2</v>
      </c>
      <c r="C40" s="4">
        <v>4</v>
      </c>
      <c r="D40" s="4" t="s">
        <v>28</v>
      </c>
      <c r="E40" s="4" t="s">
        <v>16</v>
      </c>
      <c r="F40" s="23" t="str">
        <f>IF(AND(IFERROR(FIND(Planned!$B$3,Vendor_RTA!$D40,1),0),$A40&lt;=Planned!$I$6, $A40&gt;=Planned!$H$6), "Yes","No")</f>
        <v>Yes</v>
      </c>
      <c r="G40" s="42">
        <f t="shared" si="2"/>
        <v>240</v>
      </c>
    </row>
    <row r="41" spans="1:7" hidden="1" x14ac:dyDescent="0.2">
      <c r="A41" s="21">
        <v>46055</v>
      </c>
      <c r="B41" s="41">
        <f t="shared" si="1"/>
        <v>2</v>
      </c>
      <c r="C41" s="4">
        <v>4</v>
      </c>
      <c r="D41" s="4" t="s">
        <v>28</v>
      </c>
      <c r="E41" s="4" t="s">
        <v>16</v>
      </c>
      <c r="F41" s="23" t="str">
        <f>IF(AND(IFERROR(FIND(Planned!$B$3,Vendor_RTA!$D41,1),0),$A41&lt;=Planned!$I$6, $A41&gt;=Planned!$H$6), "Yes","No")</f>
        <v>Yes</v>
      </c>
      <c r="G41" s="42">
        <f t="shared" si="2"/>
        <v>240</v>
      </c>
    </row>
    <row r="42" spans="1:7" hidden="1" x14ac:dyDescent="0.2">
      <c r="A42" s="21">
        <v>46056</v>
      </c>
      <c r="B42" s="41">
        <f t="shared" si="1"/>
        <v>2</v>
      </c>
      <c r="C42" s="4">
        <v>4</v>
      </c>
      <c r="D42" s="4" t="s">
        <v>29</v>
      </c>
      <c r="E42" s="4" t="s">
        <v>16</v>
      </c>
      <c r="F42" s="23" t="str">
        <f>IF(AND(IFERROR(FIND(Planned!$B$3,Vendor_RTA!$D42,1),0),$A42&lt;=Planned!$I$6, $A42&gt;=Planned!$H$6), "Yes","No")</f>
        <v>No</v>
      </c>
      <c r="G42" s="42">
        <f t="shared" si="2"/>
        <v>240</v>
      </c>
    </row>
    <row r="43" spans="1:7" hidden="1" x14ac:dyDescent="0.2">
      <c r="A43" s="21">
        <v>46057</v>
      </c>
      <c r="B43" s="41">
        <f t="shared" si="1"/>
        <v>2</v>
      </c>
      <c r="C43" s="4">
        <v>4</v>
      </c>
      <c r="D43" s="4" t="s">
        <v>29</v>
      </c>
      <c r="E43" s="4" t="s">
        <v>16</v>
      </c>
      <c r="F43" s="23" t="str">
        <f>IF(AND(IFERROR(FIND(Planned!$B$3,Vendor_RTA!$D43,1),0),$A43&lt;=Planned!$I$6, $A43&gt;=Planned!$H$6), "Yes","No")</f>
        <v>No</v>
      </c>
      <c r="G43" s="42">
        <f t="shared" si="2"/>
        <v>240</v>
      </c>
    </row>
    <row r="44" spans="1:7" hidden="1" x14ac:dyDescent="0.2">
      <c r="A44" s="21">
        <v>46058</v>
      </c>
      <c r="B44" s="41">
        <f t="shared" si="1"/>
        <v>2</v>
      </c>
      <c r="C44" s="4">
        <v>4</v>
      </c>
      <c r="D44" s="4" t="s">
        <v>28</v>
      </c>
      <c r="E44" s="4" t="s">
        <v>16</v>
      </c>
      <c r="F44" s="23" t="str">
        <f>IF(AND(IFERROR(FIND(Planned!$B$3,Vendor_RTA!$D44,1),0),$A44&lt;=Planned!$I$6, $A44&gt;=Planned!$H$6), "Yes","No")</f>
        <v>Yes</v>
      </c>
      <c r="G44" s="42">
        <f t="shared" si="2"/>
        <v>240</v>
      </c>
    </row>
    <row r="45" spans="1:7" hidden="1" x14ac:dyDescent="0.2">
      <c r="A45" s="21">
        <v>46059</v>
      </c>
      <c r="B45" s="41">
        <f t="shared" si="1"/>
        <v>2</v>
      </c>
      <c r="C45" s="4">
        <v>4</v>
      </c>
      <c r="D45" s="4" t="s">
        <v>28</v>
      </c>
      <c r="E45" s="4" t="s">
        <v>16</v>
      </c>
      <c r="F45" s="23" t="str">
        <f>IF(AND(IFERROR(FIND(Planned!$B$3,Vendor_RTA!$D45,1),0),$A45&lt;=Planned!$I$6, $A45&gt;=Planned!$H$6), "Yes","No")</f>
        <v>Yes</v>
      </c>
      <c r="G45" s="42">
        <f t="shared" si="2"/>
        <v>240</v>
      </c>
    </row>
    <row r="46" spans="1:7" hidden="1" x14ac:dyDescent="0.2">
      <c r="A46" s="21">
        <v>46060</v>
      </c>
      <c r="B46" s="41">
        <f t="shared" si="1"/>
        <v>2</v>
      </c>
      <c r="C46" s="4">
        <v>4</v>
      </c>
      <c r="D46" s="4" t="s">
        <v>28</v>
      </c>
      <c r="E46" s="4" t="s">
        <v>16</v>
      </c>
      <c r="F46" s="23" t="str">
        <f>IF(AND(IFERROR(FIND(Planned!$B$3,Vendor_RTA!$D46,1),0),$A46&lt;=Planned!$I$6, $A46&gt;=Planned!$H$6), "Yes","No")</f>
        <v>Yes</v>
      </c>
      <c r="G46" s="42">
        <f t="shared" si="2"/>
        <v>240</v>
      </c>
    </row>
    <row r="47" spans="1:7" hidden="1" x14ac:dyDescent="0.2">
      <c r="A47" s="21">
        <v>46061</v>
      </c>
      <c r="B47" s="41">
        <f t="shared" si="1"/>
        <v>2</v>
      </c>
      <c r="C47" s="4">
        <v>4</v>
      </c>
      <c r="D47" s="4" t="s">
        <v>28</v>
      </c>
      <c r="E47" s="4" t="s">
        <v>16</v>
      </c>
      <c r="F47" s="23" t="str">
        <f>IF(AND(IFERROR(FIND(Planned!$B$3,Vendor_RTA!$D47,1),0),$A47&lt;=Planned!$I$6, $A47&gt;=Planned!$H$6), "Yes","No")</f>
        <v>Yes</v>
      </c>
      <c r="G47" s="42">
        <f t="shared" si="2"/>
        <v>240</v>
      </c>
    </row>
    <row r="48" spans="1:7" hidden="1" x14ac:dyDescent="0.2">
      <c r="A48" s="21">
        <v>46062</v>
      </c>
      <c r="B48" s="41">
        <f t="shared" si="1"/>
        <v>2</v>
      </c>
      <c r="C48" s="4">
        <v>4</v>
      </c>
      <c r="D48" s="4" t="s">
        <v>27</v>
      </c>
      <c r="E48" s="4" t="s">
        <v>16</v>
      </c>
      <c r="F48" s="23" t="str">
        <f>IF(AND(IFERROR(FIND(Planned!$B$3,Vendor_RTA!$D48,1),0),$A48&lt;=Planned!$I$6, $A48&gt;=Planned!$H$6), "Yes","No")</f>
        <v>No</v>
      </c>
      <c r="G48" s="42">
        <f t="shared" si="2"/>
        <v>240</v>
      </c>
    </row>
    <row r="49" spans="1:7" hidden="1" x14ac:dyDescent="0.2">
      <c r="A49" s="21">
        <v>46063</v>
      </c>
      <c r="B49" s="41">
        <f t="shared" si="1"/>
        <v>2</v>
      </c>
      <c r="C49" s="4">
        <v>4</v>
      </c>
      <c r="D49" s="4" t="s">
        <v>27</v>
      </c>
      <c r="E49" s="4" t="s">
        <v>16</v>
      </c>
      <c r="F49" s="23" t="str">
        <f>IF(AND(IFERROR(FIND(Planned!$B$3,Vendor_RTA!$D49,1),0),$A49&lt;=Planned!$I$6, $A49&gt;=Planned!$H$6), "Yes","No")</f>
        <v>No</v>
      </c>
      <c r="G49" s="42">
        <f t="shared" si="2"/>
        <v>240</v>
      </c>
    </row>
    <row r="50" spans="1:7" hidden="1" x14ac:dyDescent="0.2">
      <c r="A50" s="21">
        <v>46064</v>
      </c>
      <c r="B50" s="41">
        <f t="shared" si="1"/>
        <v>2</v>
      </c>
      <c r="C50" s="4">
        <v>4</v>
      </c>
      <c r="D50" s="4" t="s">
        <v>28</v>
      </c>
      <c r="E50" s="4" t="s">
        <v>16</v>
      </c>
      <c r="F50" s="23" t="str">
        <f>IF(AND(IFERROR(FIND(Planned!$B$3,Vendor_RTA!$D50,1),0),$A50&lt;=Planned!$I$6, $A50&gt;=Planned!$H$6), "Yes","No")</f>
        <v>Yes</v>
      </c>
      <c r="G50" s="42">
        <f t="shared" si="2"/>
        <v>240</v>
      </c>
    </row>
    <row r="51" spans="1:7" hidden="1" x14ac:dyDescent="0.2">
      <c r="A51" s="21">
        <v>46065</v>
      </c>
      <c r="B51" s="41">
        <f t="shared" si="1"/>
        <v>2</v>
      </c>
      <c r="C51" s="4">
        <v>4</v>
      </c>
      <c r="D51" s="4" t="s">
        <v>28</v>
      </c>
      <c r="E51" s="4" t="s">
        <v>16</v>
      </c>
      <c r="F51" s="23" t="str">
        <f>IF(AND(IFERROR(FIND(Planned!$B$3,Vendor_RTA!$D51,1),0),$A51&lt;=Planned!$I$6, $A51&gt;=Planned!$H$6), "Yes","No")</f>
        <v>Yes</v>
      </c>
      <c r="G51" s="42">
        <f t="shared" si="2"/>
        <v>240</v>
      </c>
    </row>
    <row r="52" spans="1:7" hidden="1" x14ac:dyDescent="0.2">
      <c r="A52" s="21">
        <v>46066</v>
      </c>
      <c r="B52" s="41">
        <f t="shared" si="1"/>
        <v>2</v>
      </c>
      <c r="C52" s="4">
        <v>4</v>
      </c>
      <c r="D52" s="4" t="s">
        <v>28</v>
      </c>
      <c r="E52" s="4" t="s">
        <v>16</v>
      </c>
      <c r="F52" s="23" t="str">
        <f>IF(AND(IFERROR(FIND(Planned!$B$3,Vendor_RTA!$D52,1),0),$A52&lt;=Planned!$I$6, $A52&gt;=Planned!$H$6), "Yes","No")</f>
        <v>Yes</v>
      </c>
      <c r="G52" s="42">
        <f t="shared" si="2"/>
        <v>240</v>
      </c>
    </row>
    <row r="53" spans="1:7" hidden="1" x14ac:dyDescent="0.2">
      <c r="A53" s="21">
        <v>46067</v>
      </c>
      <c r="B53" s="41">
        <f t="shared" si="1"/>
        <v>2</v>
      </c>
      <c r="C53" s="4">
        <v>4</v>
      </c>
      <c r="D53" s="4" t="s">
        <v>28</v>
      </c>
      <c r="E53" s="4" t="s">
        <v>16</v>
      </c>
      <c r="F53" s="23" t="str">
        <f>IF(AND(IFERROR(FIND(Planned!$B$3,Vendor_RTA!$D53,1),0),$A53&lt;=Planned!$I$6, $A53&gt;=Planned!$H$6), "Yes","No")</f>
        <v>Yes</v>
      </c>
      <c r="G53" s="42">
        <f t="shared" si="2"/>
        <v>240</v>
      </c>
    </row>
    <row r="54" spans="1:7" hidden="1" x14ac:dyDescent="0.2">
      <c r="A54" s="21">
        <v>46068</v>
      </c>
      <c r="B54" s="41">
        <f t="shared" si="1"/>
        <v>2</v>
      </c>
      <c r="C54" s="4">
        <v>4</v>
      </c>
      <c r="D54" s="4" t="s">
        <v>28</v>
      </c>
      <c r="E54" s="4" t="s">
        <v>16</v>
      </c>
      <c r="F54" s="23" t="str">
        <f>IF(AND(IFERROR(FIND(Planned!$B$3,Vendor_RTA!$D54,1),0),$A54&lt;=Planned!$I$6, $A54&gt;=Planned!$H$6), "Yes","No")</f>
        <v>Yes</v>
      </c>
      <c r="G54" s="42">
        <f t="shared" si="2"/>
        <v>240</v>
      </c>
    </row>
    <row r="55" spans="1:7" hidden="1" x14ac:dyDescent="0.2">
      <c r="A55" s="21">
        <v>46069</v>
      </c>
      <c r="B55" s="41">
        <f t="shared" si="1"/>
        <v>2</v>
      </c>
      <c r="C55" s="4">
        <v>4</v>
      </c>
      <c r="D55" s="4" t="s">
        <v>28</v>
      </c>
      <c r="E55" s="4" t="s">
        <v>16</v>
      </c>
      <c r="F55" s="23" t="str">
        <f>IF(AND(IFERROR(FIND(Planned!$B$3,Vendor_RTA!$D55,1),0),$A55&lt;=Planned!$I$6, $A55&gt;=Planned!$H$6), "Yes","No")</f>
        <v>Yes</v>
      </c>
      <c r="G55" s="42">
        <f t="shared" si="2"/>
        <v>240</v>
      </c>
    </row>
    <row r="56" spans="1:7" hidden="1" x14ac:dyDescent="0.2">
      <c r="A56" s="21">
        <v>46070</v>
      </c>
      <c r="B56" s="41">
        <f t="shared" si="1"/>
        <v>2</v>
      </c>
      <c r="C56" s="4">
        <v>4</v>
      </c>
      <c r="D56" s="4" t="s">
        <v>28</v>
      </c>
      <c r="E56" s="4" t="s">
        <v>16</v>
      </c>
      <c r="F56" s="23" t="str">
        <f>IF(AND(IFERROR(FIND(Planned!$B$3,Vendor_RTA!$D56,1),0),$A56&lt;=Planned!$I$6, $A56&gt;=Planned!$H$6), "Yes","No")</f>
        <v>Yes</v>
      </c>
      <c r="G56" s="42">
        <f t="shared" si="2"/>
        <v>240</v>
      </c>
    </row>
    <row r="57" spans="1:7" hidden="1" x14ac:dyDescent="0.2">
      <c r="A57" s="21">
        <v>46071</v>
      </c>
      <c r="B57" s="41">
        <f t="shared" si="1"/>
        <v>2</v>
      </c>
      <c r="C57" s="4">
        <v>4</v>
      </c>
      <c r="D57" s="4" t="s">
        <v>28</v>
      </c>
      <c r="E57" s="4" t="s">
        <v>16</v>
      </c>
      <c r="F57" s="23" t="str">
        <f>IF(AND(IFERROR(FIND(Planned!$B$3,Vendor_RTA!$D57,1),0),$A57&lt;=Planned!$I$6, $A57&gt;=Planned!$H$6), "Yes","No")</f>
        <v>Yes</v>
      </c>
      <c r="G57" s="42">
        <f t="shared" si="2"/>
        <v>240</v>
      </c>
    </row>
    <row r="58" spans="1:7" hidden="1" x14ac:dyDescent="0.2">
      <c r="A58" s="21">
        <v>46072</v>
      </c>
      <c r="B58" s="41">
        <f t="shared" si="1"/>
        <v>2</v>
      </c>
      <c r="C58" s="4">
        <v>4</v>
      </c>
      <c r="D58" s="4" t="s">
        <v>28</v>
      </c>
      <c r="E58" s="4" t="s">
        <v>16</v>
      </c>
      <c r="F58" s="23" t="str">
        <f>IF(AND(IFERROR(FIND(Planned!$B$3,Vendor_RTA!$D58,1),0),$A58&lt;=Planned!$I$6, $A58&gt;=Planned!$H$6), "Yes","No")</f>
        <v>Yes</v>
      </c>
      <c r="G58" s="42">
        <f t="shared" si="2"/>
        <v>240</v>
      </c>
    </row>
    <row r="59" spans="1:7" hidden="1" x14ac:dyDescent="0.2">
      <c r="A59" s="21">
        <v>46073</v>
      </c>
      <c r="B59" s="41">
        <f t="shared" si="1"/>
        <v>2</v>
      </c>
      <c r="C59" s="4">
        <v>4</v>
      </c>
      <c r="D59" s="4" t="s">
        <v>28</v>
      </c>
      <c r="E59" s="4" t="s">
        <v>16</v>
      </c>
      <c r="F59" s="23" t="str">
        <f>IF(AND(IFERROR(FIND(Planned!$B$3,Vendor_RTA!$D59,1),0),$A59&lt;=Planned!$I$6, $A59&gt;=Planned!$H$6), "Yes","No")</f>
        <v>Yes</v>
      </c>
      <c r="G59" s="42">
        <f t="shared" si="2"/>
        <v>240</v>
      </c>
    </row>
    <row r="60" spans="1:7" hidden="1" x14ac:dyDescent="0.2">
      <c r="A60" s="21">
        <v>46074</v>
      </c>
      <c r="B60" s="41">
        <f t="shared" si="1"/>
        <v>2</v>
      </c>
      <c r="C60" s="4">
        <v>4</v>
      </c>
      <c r="D60" s="4" t="s">
        <v>27</v>
      </c>
      <c r="E60" s="4" t="s">
        <v>16</v>
      </c>
      <c r="F60" s="23" t="str">
        <f>IF(AND(IFERROR(FIND(Planned!$B$3,Vendor_RTA!$D60,1),0),$A60&lt;=Planned!$I$6, $A60&gt;=Planned!$H$6), "Yes","No")</f>
        <v>No</v>
      </c>
      <c r="G60" s="42">
        <f t="shared" si="2"/>
        <v>240</v>
      </c>
    </row>
    <row r="61" spans="1:7" hidden="1" x14ac:dyDescent="0.2">
      <c r="A61" s="21">
        <v>46075</v>
      </c>
      <c r="B61" s="41">
        <f t="shared" si="1"/>
        <v>2</v>
      </c>
      <c r="C61" s="4">
        <v>4</v>
      </c>
      <c r="D61" s="4" t="s">
        <v>27</v>
      </c>
      <c r="E61" s="4" t="s">
        <v>16</v>
      </c>
      <c r="F61" s="23" t="str">
        <f>IF(AND(IFERROR(FIND(Planned!$B$3,Vendor_RTA!$D61,1),0),$A61&lt;=Planned!$I$6, $A61&gt;=Planned!$H$6), "Yes","No")</f>
        <v>No</v>
      </c>
      <c r="G61" s="42">
        <f t="shared" si="2"/>
        <v>240</v>
      </c>
    </row>
    <row r="62" spans="1:7" hidden="1" x14ac:dyDescent="0.2">
      <c r="A62" s="21">
        <v>46076</v>
      </c>
      <c r="B62" s="41">
        <f t="shared" si="1"/>
        <v>2</v>
      </c>
      <c r="C62" s="4">
        <v>4</v>
      </c>
      <c r="D62" s="4" t="s">
        <v>28</v>
      </c>
      <c r="E62" s="4" t="s">
        <v>16</v>
      </c>
      <c r="F62" s="23" t="str">
        <f>IF(AND(IFERROR(FIND(Planned!$B$3,Vendor_RTA!$D62,1),0),$A62&lt;=Planned!$I$6, $A62&gt;=Planned!$H$6), "Yes","No")</f>
        <v>Yes</v>
      </c>
      <c r="G62" s="42">
        <f t="shared" si="2"/>
        <v>240</v>
      </c>
    </row>
    <row r="63" spans="1:7" hidden="1" x14ac:dyDescent="0.2">
      <c r="A63" s="21">
        <v>46077</v>
      </c>
      <c r="B63" s="41">
        <f t="shared" si="1"/>
        <v>2</v>
      </c>
      <c r="C63" s="4">
        <v>4</v>
      </c>
      <c r="D63" s="4" t="s">
        <v>28</v>
      </c>
      <c r="E63" s="4" t="s">
        <v>16</v>
      </c>
      <c r="F63" s="23" t="str">
        <f>IF(AND(IFERROR(FIND(Planned!$B$3,Vendor_RTA!$D63,1),0),$A63&lt;=Planned!$I$6, $A63&gt;=Planned!$H$6), "Yes","No")</f>
        <v>Yes</v>
      </c>
      <c r="G63" s="42">
        <f t="shared" si="2"/>
        <v>240</v>
      </c>
    </row>
    <row r="64" spans="1:7" hidden="1" x14ac:dyDescent="0.2">
      <c r="A64" s="21">
        <v>46078</v>
      </c>
      <c r="B64" s="41">
        <f t="shared" si="1"/>
        <v>2</v>
      </c>
      <c r="C64" s="4">
        <v>4</v>
      </c>
      <c r="D64" s="4" t="s">
        <v>26</v>
      </c>
      <c r="E64" s="4" t="s">
        <v>16</v>
      </c>
      <c r="F64" s="23" t="str">
        <f>IF(AND(IFERROR(FIND(Planned!$B$3,Vendor_RTA!$D64,1),0),$A64&lt;=Planned!$I$6, $A64&gt;=Planned!$H$6), "Yes","No")</f>
        <v>Yes</v>
      </c>
      <c r="G64" s="42">
        <f t="shared" si="2"/>
        <v>240</v>
      </c>
    </row>
    <row r="65" spans="1:7" hidden="1" x14ac:dyDescent="0.2">
      <c r="A65" s="21">
        <v>46079</v>
      </c>
      <c r="B65" s="41">
        <f t="shared" si="1"/>
        <v>2</v>
      </c>
      <c r="C65" s="4">
        <v>4</v>
      </c>
      <c r="D65" s="4" t="s">
        <v>26</v>
      </c>
      <c r="E65" s="4" t="s">
        <v>16</v>
      </c>
      <c r="F65" s="23" t="str">
        <f>IF(AND(IFERROR(FIND(Planned!$B$3,Vendor_RTA!$D65,1),0),$A65&lt;=Planned!$I$6, $A65&gt;=Planned!$H$6), "Yes","No")</f>
        <v>Yes</v>
      </c>
      <c r="G65" s="42">
        <f t="shared" si="2"/>
        <v>240</v>
      </c>
    </row>
    <row r="66" spans="1:7" hidden="1" x14ac:dyDescent="0.2">
      <c r="A66" s="21">
        <v>46080</v>
      </c>
      <c r="B66" s="41">
        <f t="shared" si="1"/>
        <v>2</v>
      </c>
      <c r="C66" s="4">
        <v>4</v>
      </c>
      <c r="D66" s="4" t="s">
        <v>26</v>
      </c>
      <c r="E66" s="4" t="s">
        <v>16</v>
      </c>
      <c r="F66" s="23" t="str">
        <f>IF(AND(IFERROR(FIND(Planned!$B$3,Vendor_RTA!$D66,1),0),$A66&lt;=Planned!$I$6, $A66&gt;=Planned!$H$6), "Yes","No")</f>
        <v>Yes</v>
      </c>
      <c r="G66" s="42">
        <f t="shared" si="2"/>
        <v>240</v>
      </c>
    </row>
    <row r="67" spans="1:7" hidden="1" x14ac:dyDescent="0.2">
      <c r="A67" s="21">
        <v>46081</v>
      </c>
      <c r="B67" s="41">
        <f t="shared" si="1"/>
        <v>2</v>
      </c>
      <c r="C67" s="4">
        <v>4</v>
      </c>
      <c r="D67" s="4" t="s">
        <v>26</v>
      </c>
      <c r="E67" s="4" t="s">
        <v>16</v>
      </c>
      <c r="F67" s="23" t="str">
        <f>IF(AND(IFERROR(FIND(Planned!$B$3,Vendor_RTA!$D67,1),0),$A67&lt;=Planned!$I$6, $A67&gt;=Planned!$H$6), "Yes","No")</f>
        <v>Yes</v>
      </c>
      <c r="G67" s="42">
        <f t="shared" si="2"/>
        <v>240</v>
      </c>
    </row>
    <row r="68" spans="1:7" x14ac:dyDescent="0.2">
      <c r="A68" s="21">
        <v>46082</v>
      </c>
      <c r="B68" s="41">
        <f t="shared" si="1"/>
        <v>3</v>
      </c>
      <c r="C68" s="4">
        <v>4</v>
      </c>
      <c r="D68" s="4" t="s">
        <v>26</v>
      </c>
      <c r="E68" s="4" t="s">
        <v>16</v>
      </c>
      <c r="F68" s="23" t="str">
        <f>IF(AND(IFERROR(FIND(Planned!$B$3,Vendor_RTA!$D68,1),0),$A68&lt;=Planned!$I$6, $A68&gt;=Planned!$H$6), "Yes","No")</f>
        <v>Yes</v>
      </c>
      <c r="G68" s="42">
        <f t="shared" si="2"/>
        <v>240</v>
      </c>
    </row>
    <row r="69" spans="1:7" x14ac:dyDescent="0.2">
      <c r="A69" s="21">
        <v>46083</v>
      </c>
      <c r="B69" s="41">
        <f t="shared" si="1"/>
        <v>3</v>
      </c>
      <c r="C69" s="4">
        <v>4</v>
      </c>
      <c r="D69" s="4" t="s">
        <v>26</v>
      </c>
      <c r="E69" s="4" t="s">
        <v>16</v>
      </c>
      <c r="F69" s="23" t="str">
        <f>IF(AND(IFERROR(FIND(Planned!$B$3,Vendor_RTA!$D69,1),0),$A69&lt;=Planned!$I$6, $A69&gt;=Planned!$H$6), "Yes","No")</f>
        <v>Yes</v>
      </c>
      <c r="G69" s="42">
        <f t="shared" si="2"/>
        <v>240</v>
      </c>
    </row>
    <row r="70" spans="1:7" x14ac:dyDescent="0.2">
      <c r="A70" s="21">
        <v>46084</v>
      </c>
      <c r="B70" s="41">
        <f t="shared" si="1"/>
        <v>3</v>
      </c>
      <c r="C70" s="4">
        <v>4</v>
      </c>
      <c r="D70" s="4" t="s">
        <v>28</v>
      </c>
      <c r="E70" s="4" t="s">
        <v>16</v>
      </c>
      <c r="F70" s="23" t="str">
        <f>IF(AND(IFERROR(FIND(Planned!$B$3,Vendor_RTA!$D70,1),0),$A70&lt;=Planned!$I$6, $A70&gt;=Planned!$H$6), "Yes","No")</f>
        <v>Yes</v>
      </c>
      <c r="G70" s="42">
        <f t="shared" si="2"/>
        <v>240</v>
      </c>
    </row>
    <row r="71" spans="1:7" x14ac:dyDescent="0.2">
      <c r="A71" s="21">
        <v>46085</v>
      </c>
      <c r="B71" s="41">
        <f t="shared" si="1"/>
        <v>3</v>
      </c>
      <c r="C71" s="4">
        <v>4</v>
      </c>
      <c r="D71" s="4" t="s">
        <v>28</v>
      </c>
      <c r="E71" s="4" t="s">
        <v>16</v>
      </c>
      <c r="F71" s="23" t="str">
        <f>IF(AND(IFERROR(FIND(Planned!$B$3,Vendor_RTA!$D71,1),0),$A71&lt;=Planned!$I$6, $A71&gt;=Planned!$H$6), "Yes","No")</f>
        <v>Yes</v>
      </c>
      <c r="G71" s="42">
        <f t="shared" si="2"/>
        <v>240</v>
      </c>
    </row>
    <row r="72" spans="1:7" x14ac:dyDescent="0.2">
      <c r="A72" s="21">
        <v>46086</v>
      </c>
      <c r="B72" s="41">
        <f t="shared" si="1"/>
        <v>3</v>
      </c>
      <c r="C72" s="4">
        <v>4</v>
      </c>
      <c r="D72" s="4" t="s">
        <v>28</v>
      </c>
      <c r="E72" s="4" t="s">
        <v>16</v>
      </c>
      <c r="F72" s="23" t="str">
        <f>IF(AND(IFERROR(FIND(Planned!$B$3,Vendor_RTA!$D72,1),0),$A72&lt;=Planned!$I$6, $A72&gt;=Planned!$H$6), "Yes","No")</f>
        <v>Yes</v>
      </c>
      <c r="G72" s="42">
        <f t="shared" si="2"/>
        <v>240</v>
      </c>
    </row>
    <row r="73" spans="1:7" x14ac:dyDescent="0.2">
      <c r="A73" s="21">
        <v>46087</v>
      </c>
      <c r="B73" s="41">
        <f t="shared" si="1"/>
        <v>3</v>
      </c>
      <c r="C73" s="4">
        <v>4</v>
      </c>
      <c r="D73" s="4" t="s">
        <v>28</v>
      </c>
      <c r="E73" s="4" t="s">
        <v>16</v>
      </c>
      <c r="F73" s="23" t="str">
        <f>IF(AND(IFERROR(FIND(Planned!$B$3,Vendor_RTA!$D73,1),0),$A73&lt;=Planned!$I$6, $A73&gt;=Planned!$H$6), "Yes","No")</f>
        <v>Yes</v>
      </c>
      <c r="G73" s="42">
        <f t="shared" si="2"/>
        <v>240</v>
      </c>
    </row>
    <row r="74" spans="1:7" x14ac:dyDescent="0.2">
      <c r="A74" s="21">
        <v>46088</v>
      </c>
      <c r="B74" s="41">
        <f t="shared" ref="B74:B128" si="3">MONTH(A74)</f>
        <v>3</v>
      </c>
      <c r="C74" s="4">
        <v>4</v>
      </c>
      <c r="D74" s="4" t="s">
        <v>28</v>
      </c>
      <c r="E74" s="4" t="s">
        <v>16</v>
      </c>
      <c r="F74" s="23" t="str">
        <f>IF(AND(IFERROR(FIND(Planned!$B$3,Vendor_RTA!$D74,1),0),$A74&lt;=Planned!$I$6, $A74&gt;=Planned!$H$6), "Yes","No")</f>
        <v>Yes</v>
      </c>
      <c r="G74" s="42">
        <f t="shared" ref="G74:G128" si="4">C74*VLOOKUP($B74,$D$4:$F$6,3)</f>
        <v>240</v>
      </c>
    </row>
    <row r="75" spans="1:7" x14ac:dyDescent="0.2">
      <c r="A75" s="21">
        <v>46089</v>
      </c>
      <c r="B75" s="41">
        <f t="shared" si="3"/>
        <v>3</v>
      </c>
      <c r="C75" s="4">
        <v>4</v>
      </c>
      <c r="D75" s="4" t="s">
        <v>28</v>
      </c>
      <c r="E75" s="4" t="s">
        <v>16</v>
      </c>
      <c r="F75" s="23" t="str">
        <f>IF(AND(IFERROR(FIND(Planned!$B$3,Vendor_RTA!$D75,1),0),$A75&lt;=Planned!$I$6, $A75&gt;=Planned!$H$6), "Yes","No")</f>
        <v>Yes</v>
      </c>
      <c r="G75" s="42">
        <f t="shared" si="4"/>
        <v>240</v>
      </c>
    </row>
    <row r="76" spans="1:7" x14ac:dyDescent="0.2">
      <c r="A76" s="21">
        <v>46090</v>
      </c>
      <c r="B76" s="41">
        <f t="shared" si="3"/>
        <v>3</v>
      </c>
      <c r="C76" s="4">
        <v>4</v>
      </c>
      <c r="D76" s="4" t="s">
        <v>28</v>
      </c>
      <c r="E76" s="4" t="s">
        <v>16</v>
      </c>
      <c r="F76" s="23" t="str">
        <f>IF(AND(IFERROR(FIND(Planned!$B$3,Vendor_RTA!$D76,1),0),$A76&lt;=Planned!$I$6, $A76&gt;=Planned!$H$6), "Yes","No")</f>
        <v>Yes</v>
      </c>
      <c r="G76" s="42">
        <f t="shared" si="4"/>
        <v>240</v>
      </c>
    </row>
    <row r="77" spans="1:7" hidden="1" x14ac:dyDescent="0.2">
      <c r="A77" s="21">
        <v>46091</v>
      </c>
      <c r="B77" s="41">
        <f t="shared" si="3"/>
        <v>3</v>
      </c>
      <c r="C77" s="4">
        <v>4</v>
      </c>
      <c r="D77" s="4" t="s">
        <v>27</v>
      </c>
      <c r="E77" s="4" t="s">
        <v>16</v>
      </c>
      <c r="F77" s="23" t="str">
        <f>IF(AND(IFERROR(FIND(Planned!$B$3,Vendor_RTA!$D77,1),0),$A77&lt;=Planned!$I$6, $A77&gt;=Planned!$H$6), "Yes","No")</f>
        <v>No</v>
      </c>
      <c r="G77" s="42">
        <f t="shared" si="4"/>
        <v>240</v>
      </c>
    </row>
    <row r="78" spans="1:7" hidden="1" x14ac:dyDescent="0.2">
      <c r="A78" s="21">
        <v>46092</v>
      </c>
      <c r="B78" s="41">
        <f t="shared" si="3"/>
        <v>3</v>
      </c>
      <c r="C78" s="4">
        <v>4</v>
      </c>
      <c r="D78" s="4" t="s">
        <v>27</v>
      </c>
      <c r="E78" s="4" t="s">
        <v>16</v>
      </c>
      <c r="F78" s="23" t="str">
        <f>IF(AND(IFERROR(FIND(Planned!$B$3,Vendor_RTA!$D78,1),0),$A78&lt;=Planned!$I$6, $A78&gt;=Planned!$H$6), "Yes","No")</f>
        <v>No</v>
      </c>
      <c r="G78" s="42">
        <f t="shared" si="4"/>
        <v>240</v>
      </c>
    </row>
    <row r="79" spans="1:7" hidden="1" x14ac:dyDescent="0.2">
      <c r="A79" s="21">
        <v>46093</v>
      </c>
      <c r="B79" s="41">
        <f t="shared" si="3"/>
        <v>3</v>
      </c>
      <c r="C79" s="4">
        <v>4</v>
      </c>
      <c r="D79" s="4" t="s">
        <v>27</v>
      </c>
      <c r="E79" s="4" t="s">
        <v>16</v>
      </c>
      <c r="F79" s="23" t="str">
        <f>IF(AND(IFERROR(FIND(Planned!$B$3,Vendor_RTA!$D79,1),0),$A79&lt;=Planned!$I$6, $A79&gt;=Planned!$H$6), "Yes","No")</f>
        <v>No</v>
      </c>
      <c r="G79" s="42">
        <f t="shared" si="4"/>
        <v>240</v>
      </c>
    </row>
    <row r="80" spans="1:7" hidden="1" x14ac:dyDescent="0.2">
      <c r="A80" s="21">
        <v>46094</v>
      </c>
      <c r="B80" s="41">
        <f t="shared" si="3"/>
        <v>3</v>
      </c>
      <c r="C80" s="4">
        <v>4</v>
      </c>
      <c r="D80" s="4" t="s">
        <v>27</v>
      </c>
      <c r="E80" s="4" t="s">
        <v>16</v>
      </c>
      <c r="F80" s="23" t="str">
        <f>IF(AND(IFERROR(FIND(Planned!$B$3,Vendor_RTA!$D80,1),0),$A80&lt;=Planned!$I$6, $A80&gt;=Planned!$H$6), "Yes","No")</f>
        <v>No</v>
      </c>
      <c r="G80" s="42">
        <f t="shared" si="4"/>
        <v>240</v>
      </c>
    </row>
    <row r="81" spans="1:7" x14ac:dyDescent="0.2">
      <c r="A81" s="21">
        <v>46095</v>
      </c>
      <c r="B81" s="41">
        <f t="shared" si="3"/>
        <v>3</v>
      </c>
      <c r="C81" s="4">
        <v>4</v>
      </c>
      <c r="D81" s="4" t="s">
        <v>28</v>
      </c>
      <c r="E81" s="4" t="s">
        <v>16</v>
      </c>
      <c r="F81" s="23" t="str">
        <f>IF(AND(IFERROR(FIND(Planned!$B$3,Vendor_RTA!$D81,1),0),$A81&lt;=Planned!$I$6, $A81&gt;=Planned!$H$6), "Yes","No")</f>
        <v>Yes</v>
      </c>
      <c r="G81" s="42">
        <f t="shared" si="4"/>
        <v>240</v>
      </c>
    </row>
    <row r="82" spans="1:7" x14ac:dyDescent="0.2">
      <c r="A82" s="21">
        <v>46096</v>
      </c>
      <c r="B82" s="41">
        <f t="shared" si="3"/>
        <v>3</v>
      </c>
      <c r="C82" s="4">
        <v>4</v>
      </c>
      <c r="D82" s="4" t="s">
        <v>28</v>
      </c>
      <c r="E82" s="4" t="s">
        <v>16</v>
      </c>
      <c r="F82" s="23" t="str">
        <f>IF(AND(IFERROR(FIND(Planned!$B$3,Vendor_RTA!$D82,1),0),$A82&lt;=Planned!$I$6, $A82&gt;=Planned!$H$6), "Yes","No")</f>
        <v>Yes</v>
      </c>
      <c r="G82" s="42">
        <f t="shared" si="4"/>
        <v>240</v>
      </c>
    </row>
    <row r="83" spans="1:7" x14ac:dyDescent="0.2">
      <c r="A83" s="21">
        <v>46097</v>
      </c>
      <c r="B83" s="41">
        <f t="shared" si="3"/>
        <v>3</v>
      </c>
      <c r="C83" s="4">
        <v>4</v>
      </c>
      <c r="D83" s="4" t="s">
        <v>28</v>
      </c>
      <c r="E83" s="4" t="s">
        <v>16</v>
      </c>
      <c r="F83" s="23" t="str">
        <f>IF(AND(IFERROR(FIND(Planned!$B$3,Vendor_RTA!$D83,1),0),$A83&lt;=Planned!$I$6, $A83&gt;=Planned!$H$6), "Yes","No")</f>
        <v>Yes</v>
      </c>
      <c r="G83" s="42">
        <f t="shared" si="4"/>
        <v>240</v>
      </c>
    </row>
    <row r="84" spans="1:7" x14ac:dyDescent="0.2">
      <c r="A84" s="21">
        <v>46098</v>
      </c>
      <c r="B84" s="41">
        <f t="shared" si="3"/>
        <v>3</v>
      </c>
      <c r="C84" s="4">
        <v>4</v>
      </c>
      <c r="D84" s="4" t="s">
        <v>28</v>
      </c>
      <c r="E84" s="4" t="s">
        <v>16</v>
      </c>
      <c r="F84" s="23" t="str">
        <f>IF(AND(IFERROR(FIND(Planned!$B$3,Vendor_RTA!$D84,1),0),$A84&lt;=Planned!$I$6, $A84&gt;=Planned!$H$6), "Yes","No")</f>
        <v>Yes</v>
      </c>
      <c r="G84" s="42">
        <f t="shared" si="4"/>
        <v>240</v>
      </c>
    </row>
    <row r="85" spans="1:7" x14ac:dyDescent="0.2">
      <c r="A85" s="21">
        <v>46099</v>
      </c>
      <c r="B85" s="41">
        <f t="shared" si="3"/>
        <v>3</v>
      </c>
      <c r="C85" s="4">
        <v>4</v>
      </c>
      <c r="D85" s="4" t="s">
        <v>28</v>
      </c>
      <c r="E85" s="4" t="s">
        <v>16</v>
      </c>
      <c r="F85" s="23" t="str">
        <f>IF(AND(IFERROR(FIND(Planned!$B$3,Vendor_RTA!$D85,1),0),$A85&lt;=Planned!$I$6, $A85&gt;=Planned!$H$6), "Yes","No")</f>
        <v>Yes</v>
      </c>
      <c r="G85" s="42">
        <f t="shared" si="4"/>
        <v>240</v>
      </c>
    </row>
    <row r="86" spans="1:7" x14ac:dyDescent="0.2">
      <c r="A86" s="21">
        <v>46100</v>
      </c>
      <c r="B86" s="41">
        <f t="shared" si="3"/>
        <v>3</v>
      </c>
      <c r="C86" s="4">
        <v>4</v>
      </c>
      <c r="D86" s="4" t="s">
        <v>28</v>
      </c>
      <c r="E86" s="4" t="s">
        <v>16</v>
      </c>
      <c r="F86" s="23" t="str">
        <f>IF(AND(IFERROR(FIND(Planned!$B$3,Vendor_RTA!$D86,1),0),$A86&lt;=Planned!$I$6, $A86&gt;=Planned!$H$6), "Yes","No")</f>
        <v>Yes</v>
      </c>
      <c r="G86" s="42">
        <f t="shared" si="4"/>
        <v>240</v>
      </c>
    </row>
    <row r="87" spans="1:7" x14ac:dyDescent="0.2">
      <c r="A87" s="21">
        <v>46101</v>
      </c>
      <c r="B87" s="41">
        <f t="shared" si="3"/>
        <v>3</v>
      </c>
      <c r="C87" s="4">
        <v>4</v>
      </c>
      <c r="D87" s="4" t="s">
        <v>28</v>
      </c>
      <c r="E87" s="4" t="s">
        <v>16</v>
      </c>
      <c r="F87" s="23" t="str">
        <f>IF(AND(IFERROR(FIND(Planned!$B$3,Vendor_RTA!$D87,1),0),$A87&lt;=Planned!$I$6, $A87&gt;=Planned!$H$6), "Yes","No")</f>
        <v>Yes</v>
      </c>
      <c r="G87" s="42">
        <f t="shared" si="4"/>
        <v>240</v>
      </c>
    </row>
    <row r="88" spans="1:7" hidden="1" x14ac:dyDescent="0.2">
      <c r="A88" s="21">
        <v>46102</v>
      </c>
      <c r="B88" s="41">
        <f t="shared" si="3"/>
        <v>3</v>
      </c>
      <c r="C88" s="4">
        <v>4</v>
      </c>
      <c r="D88" s="4" t="s">
        <v>27</v>
      </c>
      <c r="E88" s="4" t="s">
        <v>16</v>
      </c>
      <c r="F88" s="23" t="str">
        <f>IF(AND(IFERROR(FIND(Planned!$B$3,Vendor_RTA!$D88,1),0),$A88&lt;=Planned!$I$6, $A88&gt;=Planned!$H$6), "Yes","No")</f>
        <v>No</v>
      </c>
      <c r="G88" s="42">
        <f t="shared" si="4"/>
        <v>240</v>
      </c>
    </row>
    <row r="89" spans="1:7" hidden="1" x14ac:dyDescent="0.2">
      <c r="A89" s="21">
        <v>46103</v>
      </c>
      <c r="B89" s="41">
        <f t="shared" si="3"/>
        <v>3</v>
      </c>
      <c r="C89" s="4">
        <v>4</v>
      </c>
      <c r="D89" s="4" t="s">
        <v>27</v>
      </c>
      <c r="E89" s="4" t="s">
        <v>16</v>
      </c>
      <c r="F89" s="23" t="str">
        <f>IF(AND(IFERROR(FIND(Planned!$B$3,Vendor_RTA!$D89,1),0),$A89&lt;=Planned!$I$6, $A89&gt;=Planned!$H$6), "Yes","No")</f>
        <v>No</v>
      </c>
      <c r="G89" s="42">
        <f t="shared" si="4"/>
        <v>240</v>
      </c>
    </row>
    <row r="90" spans="1:7" x14ac:dyDescent="0.2">
      <c r="A90" s="21">
        <v>46104</v>
      </c>
      <c r="B90" s="41">
        <f t="shared" si="3"/>
        <v>3</v>
      </c>
      <c r="C90" s="4">
        <v>4</v>
      </c>
      <c r="D90" s="4" t="s">
        <v>28</v>
      </c>
      <c r="E90" s="4" t="s">
        <v>16</v>
      </c>
      <c r="F90" s="23" t="str">
        <f>IF(AND(IFERROR(FIND(Planned!$B$3,Vendor_RTA!$D90,1),0),$A90&lt;=Planned!$I$6, $A90&gt;=Planned!$H$6), "Yes","No")</f>
        <v>Yes</v>
      </c>
      <c r="G90" s="42">
        <f t="shared" si="4"/>
        <v>240</v>
      </c>
    </row>
    <row r="91" spans="1:7" x14ac:dyDescent="0.2">
      <c r="A91" s="21">
        <v>46105</v>
      </c>
      <c r="B91" s="41">
        <f t="shared" si="3"/>
        <v>3</v>
      </c>
      <c r="C91" s="4">
        <v>4</v>
      </c>
      <c r="D91" s="4" t="s">
        <v>28</v>
      </c>
      <c r="E91" s="4" t="s">
        <v>16</v>
      </c>
      <c r="F91" s="23" t="str">
        <f>IF(AND(IFERROR(FIND(Planned!$B$3,Vendor_RTA!$D91,1),0),$A91&lt;=Planned!$I$6, $A91&gt;=Planned!$H$6), "Yes","No")</f>
        <v>Yes</v>
      </c>
      <c r="G91" s="42">
        <f t="shared" si="4"/>
        <v>240</v>
      </c>
    </row>
    <row r="92" spans="1:7" x14ac:dyDescent="0.2">
      <c r="A92" s="21">
        <v>46106</v>
      </c>
      <c r="B92" s="41">
        <f t="shared" si="3"/>
        <v>3</v>
      </c>
      <c r="C92" s="4">
        <v>4</v>
      </c>
      <c r="D92" s="4" t="s">
        <v>28</v>
      </c>
      <c r="E92" s="4" t="s">
        <v>16</v>
      </c>
      <c r="F92" s="23" t="str">
        <f>IF(AND(IFERROR(FIND(Planned!$B$3,Vendor_RTA!$D92,1),0),$A92&lt;=Planned!$I$6, $A92&gt;=Planned!$H$6), "Yes","No")</f>
        <v>Yes</v>
      </c>
      <c r="G92" s="42">
        <f t="shared" si="4"/>
        <v>240</v>
      </c>
    </row>
    <row r="93" spans="1:7" hidden="1" x14ac:dyDescent="0.2">
      <c r="A93" s="21">
        <v>46107</v>
      </c>
      <c r="B93" s="41">
        <f t="shared" si="3"/>
        <v>3</v>
      </c>
      <c r="C93" s="4">
        <v>4</v>
      </c>
      <c r="D93" s="4" t="s">
        <v>27</v>
      </c>
      <c r="E93" s="4" t="s">
        <v>16</v>
      </c>
      <c r="F93" s="23" t="str">
        <f>IF(AND(IFERROR(FIND(Planned!$B$3,Vendor_RTA!$D93,1),0),$A93&lt;=Planned!$I$6, $A93&gt;=Planned!$H$6), "Yes","No")</f>
        <v>No</v>
      </c>
      <c r="G93" s="42">
        <f t="shared" si="4"/>
        <v>240</v>
      </c>
    </row>
    <row r="94" spans="1:7" hidden="1" x14ac:dyDescent="0.2">
      <c r="A94" s="21">
        <v>46108</v>
      </c>
      <c r="B94" s="41">
        <f t="shared" si="3"/>
        <v>3</v>
      </c>
      <c r="C94" s="4">
        <v>4</v>
      </c>
      <c r="D94" s="4" t="s">
        <v>27</v>
      </c>
      <c r="E94" s="4" t="s">
        <v>16</v>
      </c>
      <c r="F94" s="23" t="str">
        <f>IF(AND(IFERROR(FIND(Planned!$B$3,Vendor_RTA!$D94,1),0),$A94&lt;=Planned!$I$6, $A94&gt;=Planned!$H$6), "Yes","No")</f>
        <v>No</v>
      </c>
      <c r="G94" s="42">
        <f t="shared" si="4"/>
        <v>240</v>
      </c>
    </row>
    <row r="95" spans="1:7" x14ac:dyDescent="0.2">
      <c r="A95" s="21">
        <v>46109</v>
      </c>
      <c r="B95" s="41">
        <f t="shared" si="3"/>
        <v>3</v>
      </c>
      <c r="C95" s="4">
        <v>4</v>
      </c>
      <c r="D95" s="4" t="s">
        <v>26</v>
      </c>
      <c r="E95" s="4" t="s">
        <v>16</v>
      </c>
      <c r="F95" s="23" t="str">
        <f>IF(AND(IFERROR(FIND(Planned!$B$3,Vendor_RTA!$D95,1),0),$A95&lt;=Planned!$I$6, $A95&gt;=Planned!$H$6), "Yes","No")</f>
        <v>Yes</v>
      </c>
      <c r="G95" s="42">
        <f t="shared" si="4"/>
        <v>240</v>
      </c>
    </row>
    <row r="96" spans="1:7" x14ac:dyDescent="0.2">
      <c r="A96" s="21">
        <v>46110</v>
      </c>
      <c r="B96" s="41">
        <f t="shared" si="3"/>
        <v>3</v>
      </c>
      <c r="C96" s="4">
        <v>4</v>
      </c>
      <c r="D96" s="4" t="s">
        <v>26</v>
      </c>
      <c r="E96" s="4" t="s">
        <v>16</v>
      </c>
      <c r="F96" s="23" t="str">
        <f>IF(AND(IFERROR(FIND(Planned!$B$3,Vendor_RTA!$D96,1),0),$A96&lt;=Planned!$I$6, $A96&gt;=Planned!$H$6), "Yes","No")</f>
        <v>Yes</v>
      </c>
      <c r="G96" s="42">
        <f t="shared" si="4"/>
        <v>240</v>
      </c>
    </row>
    <row r="97" spans="1:7" x14ac:dyDescent="0.2">
      <c r="A97" s="21">
        <v>46111</v>
      </c>
      <c r="B97" s="41">
        <f t="shared" si="3"/>
        <v>3</v>
      </c>
      <c r="C97" s="4">
        <v>4</v>
      </c>
      <c r="D97" s="4" t="s">
        <v>26</v>
      </c>
      <c r="E97" s="4" t="s">
        <v>16</v>
      </c>
      <c r="F97" s="23" t="str">
        <f>IF(AND(IFERROR(FIND(Planned!$B$3,Vendor_RTA!$D97,1),0),$A97&lt;=Planned!$I$6, $A97&gt;=Planned!$H$6), "Yes","No")</f>
        <v>Yes</v>
      </c>
      <c r="G97" s="42">
        <f t="shared" si="4"/>
        <v>240</v>
      </c>
    </row>
    <row r="98" spans="1:7" x14ac:dyDescent="0.2">
      <c r="A98" s="21">
        <v>46112</v>
      </c>
      <c r="B98" s="41">
        <f t="shared" si="3"/>
        <v>3</v>
      </c>
      <c r="C98" s="4">
        <v>4</v>
      </c>
      <c r="D98" s="4" t="s">
        <v>26</v>
      </c>
      <c r="E98" s="4" t="s">
        <v>16</v>
      </c>
      <c r="F98" s="23" t="str">
        <f>IF(AND(IFERROR(FIND(Planned!$B$3,Vendor_RTA!$D98,1),0),$A98&lt;=Planned!$I$6, $A98&gt;=Planned!$H$6), "Yes","No")</f>
        <v>Yes</v>
      </c>
      <c r="G98" s="42">
        <f t="shared" si="4"/>
        <v>240</v>
      </c>
    </row>
    <row r="99" spans="1:7" hidden="1" x14ac:dyDescent="0.2">
      <c r="A99" s="21">
        <v>46113</v>
      </c>
      <c r="B99" s="41">
        <f t="shared" si="3"/>
        <v>4</v>
      </c>
      <c r="C99" s="4">
        <v>4</v>
      </c>
      <c r="D99" s="4" t="s">
        <v>26</v>
      </c>
      <c r="E99" s="4" t="s">
        <v>16</v>
      </c>
      <c r="F99" s="23" t="str">
        <f>IF(AND(IFERROR(FIND(Planned!$B$3,Vendor_RTA!$D99,1),0),$A99&lt;=Planned!$I$6, $A99&gt;=Planned!$H$6), "Yes","No")</f>
        <v>No</v>
      </c>
      <c r="G99" s="42">
        <f t="shared" si="4"/>
        <v>240</v>
      </c>
    </row>
    <row r="100" spans="1:7" hidden="1" x14ac:dyDescent="0.2">
      <c r="A100" s="21">
        <v>46114</v>
      </c>
      <c r="B100" s="41">
        <f t="shared" si="3"/>
        <v>4</v>
      </c>
      <c r="C100" s="4">
        <v>4</v>
      </c>
      <c r="D100" s="4" t="s">
        <v>26</v>
      </c>
      <c r="E100" s="4" t="s">
        <v>16</v>
      </c>
      <c r="F100" s="23" t="str">
        <f>IF(AND(IFERROR(FIND(Planned!$B$3,Vendor_RTA!$D100,1),0),$A100&lt;=Planned!$I$6, $A100&gt;=Planned!$H$6), "Yes","No")</f>
        <v>No</v>
      </c>
      <c r="G100" s="42">
        <f t="shared" si="4"/>
        <v>240</v>
      </c>
    </row>
    <row r="101" spans="1:7" hidden="1" x14ac:dyDescent="0.2">
      <c r="A101" s="21">
        <v>46115</v>
      </c>
      <c r="B101" s="41">
        <f t="shared" si="3"/>
        <v>4</v>
      </c>
      <c r="C101" s="4">
        <v>4</v>
      </c>
      <c r="D101" s="4" t="s">
        <v>28</v>
      </c>
      <c r="E101" s="4" t="s">
        <v>16</v>
      </c>
      <c r="F101" s="23" t="str">
        <f>IF(AND(IFERROR(FIND(Planned!$B$3,Vendor_RTA!$D101,1),0),$A101&lt;=Planned!$I$6, $A101&gt;=Planned!$H$6), "Yes","No")</f>
        <v>No</v>
      </c>
      <c r="G101" s="42">
        <f t="shared" si="4"/>
        <v>240</v>
      </c>
    </row>
    <row r="102" spans="1:7" hidden="1" x14ac:dyDescent="0.2">
      <c r="A102" s="21">
        <v>46116</v>
      </c>
      <c r="B102" s="41">
        <f t="shared" si="3"/>
        <v>4</v>
      </c>
      <c r="C102" s="4">
        <v>4</v>
      </c>
      <c r="D102" s="4" t="s">
        <v>28</v>
      </c>
      <c r="E102" s="4" t="s">
        <v>16</v>
      </c>
      <c r="F102" s="23" t="str">
        <f>IF(AND(IFERROR(FIND(Planned!$B$3,Vendor_RTA!$D102,1),0),$A102&lt;=Planned!$I$6, $A102&gt;=Planned!$H$6), "Yes","No")</f>
        <v>No</v>
      </c>
      <c r="G102" s="42">
        <f t="shared" si="4"/>
        <v>240</v>
      </c>
    </row>
    <row r="103" spans="1:7" hidden="1" x14ac:dyDescent="0.2">
      <c r="A103" s="21">
        <v>46117</v>
      </c>
      <c r="B103" s="41">
        <f t="shared" si="3"/>
        <v>4</v>
      </c>
      <c r="C103" s="4">
        <v>4</v>
      </c>
      <c r="D103" s="4" t="s">
        <v>28</v>
      </c>
      <c r="E103" s="4" t="s">
        <v>16</v>
      </c>
      <c r="F103" s="23" t="str">
        <f>IF(AND(IFERROR(FIND(Planned!$B$3,Vendor_RTA!$D103,1),0),$A103&lt;=Planned!$I$6, $A103&gt;=Planned!$H$6), "Yes","No")</f>
        <v>No</v>
      </c>
      <c r="G103" s="42">
        <f t="shared" si="4"/>
        <v>240</v>
      </c>
    </row>
    <row r="104" spans="1:7" hidden="1" x14ac:dyDescent="0.2">
      <c r="A104" s="21">
        <v>46118</v>
      </c>
      <c r="B104" s="41">
        <f t="shared" si="3"/>
        <v>4</v>
      </c>
      <c r="F104" s="23" t="str">
        <f>IF(AND(IFERROR(FIND(Planned!$B$3,Vendor_RTA!$D104,1),0),$A104&lt;=Planned!$I$6, $A104&gt;=Planned!$H$6), "Yes","No")</f>
        <v>No</v>
      </c>
      <c r="G104" s="42">
        <f t="shared" si="4"/>
        <v>0</v>
      </c>
    </row>
    <row r="105" spans="1:7" hidden="1" x14ac:dyDescent="0.2">
      <c r="A105" s="21">
        <v>46119</v>
      </c>
      <c r="B105" s="41">
        <f t="shared" si="3"/>
        <v>4</v>
      </c>
      <c r="F105" s="23" t="str">
        <f>IF(AND(IFERROR(FIND(Planned!$B$3,Vendor_RTA!$D105,1),0),$A105&lt;=Planned!$I$6, $A105&gt;=Planned!$H$6), "Yes","No")</f>
        <v>No</v>
      </c>
      <c r="G105" s="42">
        <f t="shared" si="4"/>
        <v>0</v>
      </c>
    </row>
    <row r="106" spans="1:7" hidden="1" x14ac:dyDescent="0.2">
      <c r="A106" s="21">
        <v>46120</v>
      </c>
      <c r="B106" s="41">
        <f t="shared" si="3"/>
        <v>4</v>
      </c>
      <c r="F106" s="23" t="str">
        <f>IF(AND(IFERROR(FIND(Planned!$B$3,Vendor_RTA!$D106,1),0),$A106&lt;=Planned!$I$6, $A106&gt;=Planned!$H$6), "Yes","No")</f>
        <v>No</v>
      </c>
      <c r="G106" s="42">
        <f t="shared" si="4"/>
        <v>0</v>
      </c>
    </row>
    <row r="107" spans="1:7" hidden="1" x14ac:dyDescent="0.2">
      <c r="A107" s="21">
        <v>46121</v>
      </c>
      <c r="B107" s="41">
        <f t="shared" si="3"/>
        <v>4</v>
      </c>
      <c r="F107" s="23" t="str">
        <f>IF(AND(IFERROR(FIND(Planned!$B$3,Vendor_RTA!$D107,1),0),$A107&lt;=Planned!$I$6, $A107&gt;=Planned!$H$6), "Yes","No")</f>
        <v>No</v>
      </c>
      <c r="G107" s="42">
        <f t="shared" si="4"/>
        <v>0</v>
      </c>
    </row>
    <row r="108" spans="1:7" hidden="1" x14ac:dyDescent="0.2">
      <c r="A108" s="21">
        <v>46122</v>
      </c>
      <c r="B108" s="41">
        <f t="shared" si="3"/>
        <v>4</v>
      </c>
      <c r="F108" s="23" t="str">
        <f>IF(AND(IFERROR(FIND(Planned!$B$3,Vendor_RTA!$D108,1),0),$A108&lt;=Planned!$I$6, $A108&gt;=Planned!$H$6), "Yes","No")</f>
        <v>No</v>
      </c>
      <c r="G108" s="42">
        <f t="shared" si="4"/>
        <v>0</v>
      </c>
    </row>
    <row r="109" spans="1:7" hidden="1" x14ac:dyDescent="0.2">
      <c r="A109" s="21">
        <v>46123</v>
      </c>
      <c r="B109" s="41">
        <f t="shared" si="3"/>
        <v>4</v>
      </c>
      <c r="F109" s="23" t="str">
        <f>IF(AND(IFERROR(FIND(Planned!$B$3,Vendor_RTA!$D109,1),0),$A109&lt;=Planned!$I$6, $A109&gt;=Planned!$H$6), "Yes","No")</f>
        <v>No</v>
      </c>
      <c r="G109" s="42">
        <f t="shared" si="4"/>
        <v>0</v>
      </c>
    </row>
    <row r="110" spans="1:7" hidden="1" x14ac:dyDescent="0.2">
      <c r="A110" s="21">
        <v>46124</v>
      </c>
      <c r="B110" s="41">
        <f t="shared" si="3"/>
        <v>4</v>
      </c>
      <c r="F110" s="23" t="str">
        <f>IF(AND(IFERROR(FIND(Planned!$B$3,Vendor_RTA!$D110,1),0),$A110&lt;=Planned!$I$6, $A110&gt;=Planned!$H$6), "Yes","No")</f>
        <v>No</v>
      </c>
      <c r="G110" s="42">
        <f t="shared" si="4"/>
        <v>0</v>
      </c>
    </row>
    <row r="111" spans="1:7" hidden="1" x14ac:dyDescent="0.2">
      <c r="A111" s="21">
        <v>46125</v>
      </c>
      <c r="B111" s="41">
        <f t="shared" si="3"/>
        <v>4</v>
      </c>
      <c r="F111" s="23" t="str">
        <f>IF(AND(IFERROR(FIND(Planned!$B$3,Vendor_RTA!$D111,1),0),$A111&lt;=Planned!$I$6, $A111&gt;=Planned!$H$6), "Yes","No")</f>
        <v>No</v>
      </c>
      <c r="G111" s="42">
        <f t="shared" si="4"/>
        <v>0</v>
      </c>
    </row>
    <row r="112" spans="1:7" hidden="1" x14ac:dyDescent="0.2">
      <c r="A112" s="21">
        <v>46126</v>
      </c>
      <c r="B112" s="41">
        <f t="shared" si="3"/>
        <v>4</v>
      </c>
      <c r="F112" s="23" t="str">
        <f>IF(AND(IFERROR(FIND(Planned!$B$3,Vendor_RTA!$D112,1),0),$A112&lt;=Planned!$I$6, $A112&gt;=Planned!$H$6), "Yes","No")</f>
        <v>No</v>
      </c>
      <c r="G112" s="42">
        <f t="shared" si="4"/>
        <v>0</v>
      </c>
    </row>
    <row r="113" spans="1:7" hidden="1" x14ac:dyDescent="0.2">
      <c r="A113" s="21">
        <v>46127</v>
      </c>
      <c r="B113" s="41">
        <f t="shared" si="3"/>
        <v>4</v>
      </c>
      <c r="F113" s="23" t="str">
        <f>IF(AND(IFERROR(FIND(Planned!$B$3,Vendor_RTA!$D113,1),0),$A113&lt;=Planned!$I$6, $A113&gt;=Planned!$H$6), "Yes","No")</f>
        <v>No</v>
      </c>
      <c r="G113" s="42">
        <f t="shared" si="4"/>
        <v>0</v>
      </c>
    </row>
    <row r="114" spans="1:7" hidden="1" x14ac:dyDescent="0.2">
      <c r="A114" s="21">
        <v>46128</v>
      </c>
      <c r="B114" s="41">
        <f t="shared" si="3"/>
        <v>4</v>
      </c>
      <c r="F114" s="23" t="str">
        <f>IF(AND(IFERROR(FIND(Planned!$B$3,Vendor_RTA!$D114,1),0),$A114&lt;=Planned!$I$6, $A114&gt;=Planned!$H$6), "Yes","No")</f>
        <v>No</v>
      </c>
      <c r="G114" s="42">
        <f t="shared" si="4"/>
        <v>0</v>
      </c>
    </row>
    <row r="115" spans="1:7" hidden="1" x14ac:dyDescent="0.2">
      <c r="A115" s="21">
        <v>46129</v>
      </c>
      <c r="B115" s="41">
        <f t="shared" si="3"/>
        <v>4</v>
      </c>
      <c r="F115" s="23" t="str">
        <f>IF(AND(IFERROR(FIND(Planned!$B$3,Vendor_RTA!$D115,1),0),$A115&lt;=Planned!$I$6, $A115&gt;=Planned!$H$6), "Yes","No")</f>
        <v>No</v>
      </c>
      <c r="G115" s="42">
        <f t="shared" si="4"/>
        <v>0</v>
      </c>
    </row>
    <row r="116" spans="1:7" hidden="1" x14ac:dyDescent="0.2">
      <c r="A116" s="21">
        <v>46130</v>
      </c>
      <c r="B116" s="41">
        <f t="shared" si="3"/>
        <v>4</v>
      </c>
      <c r="F116" s="23" t="str">
        <f>IF(AND(IFERROR(FIND(Planned!$B$3,Vendor_RTA!$D116,1),0),$A116&lt;=Planned!$I$6, $A116&gt;=Planned!$H$6), "Yes","No")</f>
        <v>No</v>
      </c>
      <c r="G116" s="42">
        <f t="shared" si="4"/>
        <v>0</v>
      </c>
    </row>
    <row r="117" spans="1:7" hidden="1" x14ac:dyDescent="0.2">
      <c r="A117" s="21">
        <v>46131</v>
      </c>
      <c r="B117" s="41">
        <f t="shared" si="3"/>
        <v>4</v>
      </c>
      <c r="F117" s="23" t="str">
        <f>IF(AND(IFERROR(FIND(Planned!$B$3,Vendor_RTA!$D117,1),0),$A117&lt;=Planned!$I$6, $A117&gt;=Planned!$H$6), "Yes","No")</f>
        <v>No</v>
      </c>
      <c r="G117" s="42">
        <f t="shared" si="4"/>
        <v>0</v>
      </c>
    </row>
    <row r="118" spans="1:7" hidden="1" x14ac:dyDescent="0.2">
      <c r="A118" s="21">
        <v>46132</v>
      </c>
      <c r="B118" s="41">
        <f t="shared" si="3"/>
        <v>4</v>
      </c>
      <c r="F118" s="23" t="str">
        <f>IF(AND(IFERROR(FIND(Planned!$B$3,Vendor_RTA!$D118,1),0),$A118&lt;=Planned!$I$6, $A118&gt;=Planned!$H$6), "Yes","No")</f>
        <v>No</v>
      </c>
      <c r="G118" s="42">
        <f t="shared" si="4"/>
        <v>0</v>
      </c>
    </row>
    <row r="119" spans="1:7" hidden="1" x14ac:dyDescent="0.2">
      <c r="A119" s="21">
        <v>46133</v>
      </c>
      <c r="B119" s="41">
        <f t="shared" si="3"/>
        <v>4</v>
      </c>
      <c r="F119" s="23" t="str">
        <f>IF(AND(IFERROR(FIND(Planned!$B$3,Vendor_RTA!$D119,1),0),$A119&lt;=Planned!$I$6, $A119&gt;=Planned!$H$6), "Yes","No")</f>
        <v>No</v>
      </c>
      <c r="G119" s="42">
        <f t="shared" si="4"/>
        <v>0</v>
      </c>
    </row>
    <row r="120" spans="1:7" hidden="1" x14ac:dyDescent="0.2">
      <c r="A120" s="21">
        <v>46134</v>
      </c>
      <c r="B120" s="41">
        <f t="shared" si="3"/>
        <v>4</v>
      </c>
      <c r="F120" s="23" t="str">
        <f>IF(AND(IFERROR(FIND(Planned!$B$3,Vendor_RTA!$D120,1),0),$A120&lt;=Planned!$I$6, $A120&gt;=Planned!$H$6), "Yes","No")</f>
        <v>No</v>
      </c>
      <c r="G120" s="42">
        <f t="shared" si="4"/>
        <v>0</v>
      </c>
    </row>
    <row r="121" spans="1:7" hidden="1" x14ac:dyDescent="0.2">
      <c r="A121" s="21">
        <v>46135</v>
      </c>
      <c r="B121" s="41">
        <f t="shared" si="3"/>
        <v>4</v>
      </c>
      <c r="F121" s="23" t="str">
        <f>IF(AND(IFERROR(FIND(Planned!$B$3,Vendor_RTA!$D121,1),0),$A121&lt;=Planned!$I$6, $A121&gt;=Planned!$H$6), "Yes","No")</f>
        <v>No</v>
      </c>
      <c r="G121" s="42">
        <f t="shared" si="4"/>
        <v>0</v>
      </c>
    </row>
    <row r="122" spans="1:7" hidden="1" x14ac:dyDescent="0.2">
      <c r="A122" s="21">
        <v>46136</v>
      </c>
      <c r="B122" s="41">
        <f t="shared" si="3"/>
        <v>4</v>
      </c>
      <c r="F122" s="23" t="str">
        <f>IF(AND(IFERROR(FIND(Planned!$B$3,Vendor_RTA!$D122,1),0),$A122&lt;=Planned!$I$6, $A122&gt;=Planned!$H$6), "Yes","No")</f>
        <v>No</v>
      </c>
      <c r="G122" s="42">
        <f t="shared" si="4"/>
        <v>0</v>
      </c>
    </row>
    <row r="123" spans="1:7" hidden="1" x14ac:dyDescent="0.2">
      <c r="A123" s="21">
        <v>46137</v>
      </c>
      <c r="B123" s="41">
        <f t="shared" si="3"/>
        <v>4</v>
      </c>
      <c r="F123" s="23" t="str">
        <f>IF(AND(IFERROR(FIND(Planned!$B$3,Vendor_RTA!$D123,1),0),$A123&lt;=Planned!$I$6, $A123&gt;=Planned!$H$6), "Yes","No")</f>
        <v>No</v>
      </c>
      <c r="G123" s="42">
        <f t="shared" si="4"/>
        <v>0</v>
      </c>
    </row>
    <row r="124" spans="1:7" hidden="1" x14ac:dyDescent="0.2">
      <c r="A124" s="21">
        <v>46138</v>
      </c>
      <c r="B124" s="41">
        <f t="shared" si="3"/>
        <v>4</v>
      </c>
      <c r="F124" s="23" t="str">
        <f>IF(AND(IFERROR(FIND(Planned!$B$3,Vendor_RTA!$D124,1),0),$A124&lt;=Planned!$I$6, $A124&gt;=Planned!$H$6), "Yes","No")</f>
        <v>No</v>
      </c>
      <c r="G124" s="42">
        <f t="shared" si="4"/>
        <v>0</v>
      </c>
    </row>
    <row r="125" spans="1:7" hidden="1" x14ac:dyDescent="0.2">
      <c r="A125" s="21">
        <v>46139</v>
      </c>
      <c r="B125" s="41">
        <f t="shared" si="3"/>
        <v>4</v>
      </c>
      <c r="F125" s="23" t="str">
        <f>IF(AND(IFERROR(FIND(Planned!$B$3,Vendor_RTA!$D125,1),0),$A125&lt;=Planned!$I$6, $A125&gt;=Planned!$H$6), "Yes","No")</f>
        <v>No</v>
      </c>
      <c r="G125" s="42">
        <f t="shared" si="4"/>
        <v>0</v>
      </c>
    </row>
    <row r="126" spans="1:7" hidden="1" x14ac:dyDescent="0.2">
      <c r="A126" s="21">
        <v>46140</v>
      </c>
      <c r="B126" s="41">
        <f t="shared" si="3"/>
        <v>4</v>
      </c>
      <c r="F126" s="23" t="str">
        <f>IF(AND(IFERROR(FIND(Planned!$B$3,Vendor_RTA!$D126,1),0),$A126&lt;=Planned!$I$6, $A126&gt;=Planned!$H$6), "Yes","No")</f>
        <v>No</v>
      </c>
      <c r="G126" s="42">
        <f t="shared" si="4"/>
        <v>0</v>
      </c>
    </row>
    <row r="127" spans="1:7" hidden="1" x14ac:dyDescent="0.2">
      <c r="A127" s="21">
        <v>46141</v>
      </c>
      <c r="B127" s="41">
        <f t="shared" si="3"/>
        <v>4</v>
      </c>
      <c r="F127" s="23" t="str">
        <f>IF(AND(IFERROR(FIND(Planned!$B$3,Vendor_RTA!$D127,1),0),$A127&lt;=Planned!$I$6, $A127&gt;=Planned!$H$6), "Yes","No")</f>
        <v>No</v>
      </c>
      <c r="G127" s="42">
        <f t="shared" si="4"/>
        <v>0</v>
      </c>
    </row>
    <row r="128" spans="1:7" hidden="1" x14ac:dyDescent="0.2">
      <c r="A128" s="21">
        <v>46142</v>
      </c>
      <c r="B128" s="41">
        <f t="shared" si="3"/>
        <v>4</v>
      </c>
      <c r="F128" s="23" t="str">
        <f>IF(AND(IFERROR(FIND(Planned!$B$3,Vendor_RTA!$D128,1),0),$A128&lt;=Planned!$I$6, $A128&gt;=Planned!$H$6), "Yes","No")</f>
        <v>No</v>
      </c>
      <c r="G128" s="42">
        <f t="shared" si="4"/>
        <v>0</v>
      </c>
    </row>
  </sheetData>
  <autoFilter ref="A8:G128" xr:uid="{40760A72-E38E-4070-8D33-4DCFE1B078AC}">
    <filterColumn colId="1">
      <filters>
        <filter val="3"/>
      </filters>
    </filterColumn>
    <filterColumn colId="5">
      <filters>
        <filter val="Yes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058E-5560-4187-88FE-930C1BB6DB6B}">
  <sheetPr filterMode="1">
    <tabColor theme="0" tint="-0.14999847407452621"/>
  </sheetPr>
  <dimension ref="A1:K422"/>
  <sheetViews>
    <sheetView zoomScale="90" zoomScaleNormal="90" zoomScaleSheetLayoutView="34" workbookViewId="0">
      <selection activeCell="N6" sqref="N6"/>
    </sheetView>
  </sheetViews>
  <sheetFormatPr baseColWidth="10" defaultColWidth="8.6640625" defaultRowHeight="15" x14ac:dyDescent="0.2"/>
  <cols>
    <col min="1" max="1" width="13.33203125" style="27" customWidth="1"/>
    <col min="2" max="2" width="29.6640625" style="27" customWidth="1"/>
    <col min="3" max="3" width="17.1640625" style="27" customWidth="1"/>
    <col min="4" max="4" width="13.33203125" style="27" customWidth="1"/>
    <col min="5" max="5" width="15.6640625" style="27" customWidth="1"/>
    <col min="6" max="6" width="8.6640625" style="27"/>
    <col min="7" max="7" width="25.6640625" style="27" customWidth="1"/>
    <col min="8" max="8" width="15.1640625" style="27" customWidth="1"/>
    <col min="9" max="9" width="13.5" style="4" customWidth="1"/>
    <col min="10" max="10" width="8.6640625" style="4"/>
    <col min="11" max="11" width="13.83203125" style="4" customWidth="1"/>
    <col min="12" max="16384" width="8.6640625" style="4"/>
  </cols>
  <sheetData>
    <row r="1" spans="1:11" s="24" customFormat="1" ht="16" x14ac:dyDescent="0.2">
      <c r="A1" s="25" t="s">
        <v>0</v>
      </c>
      <c r="B1" s="26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3" t="s">
        <v>59</v>
      </c>
      <c r="J1" s="3" t="s">
        <v>49</v>
      </c>
      <c r="K1" s="3" t="s">
        <v>57</v>
      </c>
    </row>
    <row r="2" spans="1:11" x14ac:dyDescent="0.2">
      <c r="A2" s="27">
        <v>4041</v>
      </c>
      <c r="B2" s="27" t="s">
        <v>8</v>
      </c>
      <c r="C2" s="27" t="s">
        <v>9</v>
      </c>
      <c r="E2" s="28">
        <v>46024</v>
      </c>
      <c r="F2" s="27">
        <v>4</v>
      </c>
      <c r="G2" s="27" t="s">
        <v>10</v>
      </c>
      <c r="H2" s="27" t="s">
        <v>11</v>
      </c>
      <c r="I2" s="4" t="str">
        <f>$D2&amp;$H2</f>
        <v>Mobile App</v>
      </c>
      <c r="J2" s="4" t="str">
        <f>IF(AND(IFERROR(FIND(Planned!$B$3,B2,1),0),$E2&lt;=Planned!$I$6, $E2&gt;=Planned!$H$6), "Yes","No")</f>
        <v>Yes</v>
      </c>
      <c r="K2" s="4">
        <f>F2*VLOOKUP($G2,Planned!$C$14:$E$16,3,FALSE)</f>
        <v>200</v>
      </c>
    </row>
    <row r="3" spans="1:11" x14ac:dyDescent="0.2">
      <c r="A3" s="27">
        <v>4041</v>
      </c>
      <c r="B3" s="27" t="s">
        <v>8</v>
      </c>
      <c r="C3" s="27" t="s">
        <v>9</v>
      </c>
      <c r="E3" s="28">
        <v>46025</v>
      </c>
      <c r="F3" s="27">
        <v>4</v>
      </c>
      <c r="G3" s="27" t="s">
        <v>10</v>
      </c>
      <c r="H3" s="27" t="s">
        <v>11</v>
      </c>
      <c r="I3" s="4" t="str">
        <f t="shared" ref="I3:I66" si="0">$D3&amp;$H3</f>
        <v>Mobile App</v>
      </c>
      <c r="J3" s="4" t="str">
        <f>IF(AND(IFERROR(FIND(Planned!$B$3,B3,1),0),$E3&lt;=Planned!$I$6, $E3&gt;=Planned!$H$6), "Yes","No")</f>
        <v>Yes</v>
      </c>
      <c r="K3" s="4">
        <f>F3*VLOOKUP($G3,Planned!$C$14:$E$16,3,FALSE)</f>
        <v>200</v>
      </c>
    </row>
    <row r="4" spans="1:11" x14ac:dyDescent="0.2">
      <c r="A4" s="27">
        <v>4041</v>
      </c>
      <c r="B4" s="27" t="s">
        <v>8</v>
      </c>
      <c r="C4" s="27" t="s">
        <v>9</v>
      </c>
      <c r="E4" s="28">
        <v>46026</v>
      </c>
      <c r="F4" s="27">
        <v>4</v>
      </c>
      <c r="G4" s="27" t="s">
        <v>10</v>
      </c>
      <c r="H4" s="27" t="s">
        <v>12</v>
      </c>
      <c r="I4" s="4" t="str">
        <f t="shared" si="0"/>
        <v>Integration API</v>
      </c>
      <c r="J4" s="4" t="str">
        <f>IF(AND(IFERROR(FIND(Planned!$B$3,B4,1),0),$E4&lt;=Planned!$I$6, $E4&gt;=Planned!$H$6), "Yes","No")</f>
        <v>Yes</v>
      </c>
      <c r="K4" s="4">
        <f>F4*VLOOKUP($G4,Planned!$C$14:$E$16,3,FALSE)</f>
        <v>200</v>
      </c>
    </row>
    <row r="5" spans="1:11" x14ac:dyDescent="0.2">
      <c r="A5" s="27">
        <v>4041</v>
      </c>
      <c r="B5" s="27" t="s">
        <v>8</v>
      </c>
      <c r="C5" s="27" t="s">
        <v>9</v>
      </c>
      <c r="E5" s="28">
        <v>46027</v>
      </c>
      <c r="F5" s="27">
        <v>4</v>
      </c>
      <c r="G5" s="27" t="s">
        <v>10</v>
      </c>
      <c r="H5" s="27" t="s">
        <v>11</v>
      </c>
      <c r="I5" s="4" t="str">
        <f t="shared" si="0"/>
        <v>Mobile App</v>
      </c>
      <c r="J5" s="4" t="str">
        <f>IF(AND(IFERROR(FIND(Planned!$B$3,B5,1),0),$E5&lt;=Planned!$I$6, $E5&gt;=Planned!$H$6), "Yes","No")</f>
        <v>Yes</v>
      </c>
      <c r="K5" s="4">
        <f>F5*VLOOKUP($G5,Planned!$C$14:$E$16,3,FALSE)</f>
        <v>200</v>
      </c>
    </row>
    <row r="6" spans="1:11" x14ac:dyDescent="0.2">
      <c r="A6" s="27">
        <v>4041</v>
      </c>
      <c r="B6" s="27" t="s">
        <v>8</v>
      </c>
      <c r="C6" s="27" t="s">
        <v>9</v>
      </c>
      <c r="E6" s="28">
        <v>46028</v>
      </c>
      <c r="F6" s="27">
        <v>4</v>
      </c>
      <c r="G6" s="27" t="s">
        <v>10</v>
      </c>
      <c r="H6" s="27" t="s">
        <v>11</v>
      </c>
      <c r="I6" s="4" t="str">
        <f t="shared" si="0"/>
        <v>Mobile App</v>
      </c>
      <c r="J6" s="4" t="str">
        <f>IF(AND(IFERROR(FIND(Planned!$B$3,B6,1),0),$E6&lt;=Planned!$I$6, $E6&gt;=Planned!$H$6), "Yes","No")</f>
        <v>Yes</v>
      </c>
      <c r="K6" s="4">
        <f>F6*VLOOKUP($G6,Planned!$C$14:$E$16,3,FALSE)</f>
        <v>200</v>
      </c>
    </row>
    <row r="7" spans="1:11" x14ac:dyDescent="0.2">
      <c r="A7" s="27">
        <v>4041</v>
      </c>
      <c r="B7" s="27" t="s">
        <v>8</v>
      </c>
      <c r="C7" s="27" t="s">
        <v>9</v>
      </c>
      <c r="E7" s="28">
        <v>46029</v>
      </c>
      <c r="F7" s="27">
        <v>4</v>
      </c>
      <c r="G7" s="27" t="s">
        <v>10</v>
      </c>
      <c r="H7" s="27" t="s">
        <v>11</v>
      </c>
      <c r="I7" s="4" t="str">
        <f t="shared" si="0"/>
        <v>Mobile App</v>
      </c>
      <c r="J7" s="4" t="str">
        <f>IF(AND(IFERROR(FIND(Planned!$B$3,B7,1),0),$E7&lt;=Planned!$I$6, $E7&gt;=Planned!$H$6), "Yes","No")</f>
        <v>Yes</v>
      </c>
      <c r="K7" s="4">
        <f>F7*VLOOKUP($G7,Planned!$C$14:$E$16,3,FALSE)</f>
        <v>200</v>
      </c>
    </row>
    <row r="8" spans="1:11" x14ac:dyDescent="0.2">
      <c r="A8" s="27">
        <v>4041</v>
      </c>
      <c r="B8" s="27" t="s">
        <v>8</v>
      </c>
      <c r="C8" s="27" t="s">
        <v>9</v>
      </c>
      <c r="E8" s="28">
        <v>46030</v>
      </c>
      <c r="F8" s="27">
        <v>4</v>
      </c>
      <c r="G8" s="27" t="s">
        <v>10</v>
      </c>
      <c r="H8" s="27" t="s">
        <v>11</v>
      </c>
      <c r="I8" s="4" t="str">
        <f t="shared" si="0"/>
        <v>Mobile App</v>
      </c>
      <c r="J8" s="4" t="str">
        <f>IF(AND(IFERROR(FIND(Planned!$B$3,B8,1),0),$E8&lt;=Planned!$I$6, $E8&gt;=Planned!$H$6), "Yes","No")</f>
        <v>Yes</v>
      </c>
      <c r="K8" s="4">
        <f>F8*VLOOKUP($G8,Planned!$C$14:$E$16,3,FALSE)</f>
        <v>200</v>
      </c>
    </row>
    <row r="9" spans="1:11" x14ac:dyDescent="0.2">
      <c r="A9" s="27">
        <v>4041</v>
      </c>
      <c r="B9" s="27" t="s">
        <v>8</v>
      </c>
      <c r="C9" s="27" t="s">
        <v>9</v>
      </c>
      <c r="E9" s="28">
        <v>46031</v>
      </c>
      <c r="F9" s="27">
        <v>4</v>
      </c>
      <c r="G9" s="27" t="s">
        <v>10</v>
      </c>
      <c r="H9" s="27" t="s">
        <v>11</v>
      </c>
      <c r="I9" s="4" t="str">
        <f t="shared" si="0"/>
        <v>Mobile App</v>
      </c>
      <c r="J9" s="4" t="str">
        <f>IF(AND(IFERROR(FIND(Planned!$B$3,B9,1),0),$E9&lt;=Planned!$I$6, $E9&gt;=Planned!$H$6), "Yes","No")</f>
        <v>Yes</v>
      </c>
      <c r="K9" s="4">
        <f>F9*VLOOKUP($G9,Planned!$C$14:$E$16,3,FALSE)</f>
        <v>200</v>
      </c>
    </row>
    <row r="10" spans="1:11" x14ac:dyDescent="0.2">
      <c r="A10" s="27">
        <v>4041</v>
      </c>
      <c r="B10" s="27" t="s">
        <v>8</v>
      </c>
      <c r="C10" s="27" t="s">
        <v>9</v>
      </c>
      <c r="E10" s="28">
        <v>46032</v>
      </c>
      <c r="F10" s="27">
        <v>4</v>
      </c>
      <c r="G10" s="27" t="s">
        <v>13</v>
      </c>
      <c r="H10" s="27" t="s">
        <v>14</v>
      </c>
      <c r="I10" s="4" t="str">
        <f t="shared" si="0"/>
        <v>Reports</v>
      </c>
      <c r="J10" s="4" t="str">
        <f>IF(AND(IFERROR(FIND(Planned!$B$3,B10,1),0),$E10&lt;=Planned!$I$6, $E10&gt;=Planned!$H$6), "Yes","No")</f>
        <v>Yes</v>
      </c>
      <c r="K10" s="4">
        <f>F10*VLOOKUP($G10,Planned!$C$14:$E$16,3,FALSE)</f>
        <v>220</v>
      </c>
    </row>
    <row r="11" spans="1:11" x14ac:dyDescent="0.2">
      <c r="A11" s="27">
        <v>4041</v>
      </c>
      <c r="B11" s="27" t="s">
        <v>8</v>
      </c>
      <c r="C11" s="27" t="s">
        <v>9</v>
      </c>
      <c r="E11" s="28">
        <v>46033</v>
      </c>
      <c r="F11" s="27">
        <v>4</v>
      </c>
      <c r="G11" s="27" t="s">
        <v>13</v>
      </c>
      <c r="H11" s="27" t="s">
        <v>14</v>
      </c>
      <c r="I11" s="4" t="str">
        <f t="shared" si="0"/>
        <v>Reports</v>
      </c>
      <c r="J11" s="4" t="str">
        <f>IF(AND(IFERROR(FIND(Planned!$B$3,B11,1),0),$E11&lt;=Planned!$I$6, $E11&gt;=Planned!$H$6), "Yes","No")</f>
        <v>Yes</v>
      </c>
      <c r="K11" s="4">
        <f>F11*VLOOKUP($G11,Planned!$C$14:$E$16,3,FALSE)</f>
        <v>220</v>
      </c>
    </row>
    <row r="12" spans="1:11" x14ac:dyDescent="0.2">
      <c r="A12" s="27">
        <v>4041</v>
      </c>
      <c r="B12" s="27" t="s">
        <v>8</v>
      </c>
      <c r="C12" s="27" t="s">
        <v>9</v>
      </c>
      <c r="E12" s="28">
        <v>46034</v>
      </c>
      <c r="F12" s="27">
        <v>4</v>
      </c>
      <c r="G12" s="27" t="s">
        <v>13</v>
      </c>
      <c r="H12" s="27" t="s">
        <v>14</v>
      </c>
      <c r="I12" s="4" t="str">
        <f t="shared" si="0"/>
        <v>Reports</v>
      </c>
      <c r="J12" s="4" t="str">
        <f>IF(AND(IFERROR(FIND(Planned!$B$3,B12,1),0),$E12&lt;=Planned!$I$6, $E12&gt;=Planned!$H$6), "Yes","No")</f>
        <v>Yes</v>
      </c>
      <c r="K12" s="4">
        <f>F12*VLOOKUP($G12,Planned!$C$14:$E$16,3,FALSE)</f>
        <v>220</v>
      </c>
    </row>
    <row r="13" spans="1:11" x14ac:dyDescent="0.2">
      <c r="A13" s="27">
        <v>4041</v>
      </c>
      <c r="B13" s="27" t="s">
        <v>8</v>
      </c>
      <c r="C13" s="27" t="s">
        <v>9</v>
      </c>
      <c r="E13" s="28">
        <v>46035</v>
      </c>
      <c r="F13" s="27">
        <v>4</v>
      </c>
      <c r="G13" s="27" t="s">
        <v>13</v>
      </c>
      <c r="H13" s="27" t="s">
        <v>14</v>
      </c>
      <c r="I13" s="4" t="str">
        <f t="shared" si="0"/>
        <v>Reports</v>
      </c>
      <c r="J13" s="4" t="str">
        <f>IF(AND(IFERROR(FIND(Planned!$B$3,B13,1),0),$E13&lt;=Planned!$I$6, $E13&gt;=Planned!$H$6), "Yes","No")</f>
        <v>Yes</v>
      </c>
      <c r="K13" s="4">
        <f>F13*VLOOKUP($G13,Planned!$C$14:$E$16,3,FALSE)</f>
        <v>220</v>
      </c>
    </row>
    <row r="14" spans="1:11" x14ac:dyDescent="0.2">
      <c r="A14" s="27">
        <v>4041</v>
      </c>
      <c r="B14" s="27" t="s">
        <v>8</v>
      </c>
      <c r="C14" s="27" t="s">
        <v>9</v>
      </c>
      <c r="E14" s="28">
        <v>46036</v>
      </c>
      <c r="F14" s="27">
        <v>4</v>
      </c>
      <c r="G14" s="27" t="s">
        <v>13</v>
      </c>
      <c r="H14" s="27" t="s">
        <v>14</v>
      </c>
      <c r="I14" s="4" t="str">
        <f t="shared" si="0"/>
        <v>Reports</v>
      </c>
      <c r="J14" s="4" t="str">
        <f>IF(AND(IFERROR(FIND(Planned!$B$3,B14,1),0),$E14&lt;=Planned!$I$6, $E14&gt;=Planned!$H$6), "Yes","No")</f>
        <v>Yes</v>
      </c>
      <c r="K14" s="4">
        <f>F14*VLOOKUP($G14,Planned!$C$14:$E$16,3,FALSE)</f>
        <v>220</v>
      </c>
    </row>
    <row r="15" spans="1:11" x14ac:dyDescent="0.2">
      <c r="A15" s="27">
        <v>4041</v>
      </c>
      <c r="B15" s="27" t="s">
        <v>8</v>
      </c>
      <c r="C15" s="27" t="s">
        <v>9</v>
      </c>
      <c r="E15" s="28">
        <v>46037</v>
      </c>
      <c r="F15" s="27">
        <v>4</v>
      </c>
      <c r="G15" s="27" t="s">
        <v>13</v>
      </c>
      <c r="H15" s="27" t="s">
        <v>11</v>
      </c>
      <c r="I15" s="4" t="str">
        <f t="shared" si="0"/>
        <v>Mobile App</v>
      </c>
      <c r="J15" s="4" t="str">
        <f>IF(AND(IFERROR(FIND(Planned!$B$3,B15,1),0),$E15&lt;=Planned!$I$6, $E15&gt;=Planned!$H$6), "Yes","No")</f>
        <v>Yes</v>
      </c>
      <c r="K15" s="4">
        <f>F15*VLOOKUP($G15,Planned!$C$14:$E$16,3,FALSE)</f>
        <v>220</v>
      </c>
    </row>
    <row r="16" spans="1:11" x14ac:dyDescent="0.2">
      <c r="A16" s="27">
        <v>4041</v>
      </c>
      <c r="B16" s="27" t="s">
        <v>8</v>
      </c>
      <c r="C16" s="27" t="s">
        <v>9</v>
      </c>
      <c r="E16" s="28">
        <v>46038</v>
      </c>
      <c r="F16" s="27">
        <v>4</v>
      </c>
      <c r="G16" s="27" t="s">
        <v>13</v>
      </c>
      <c r="H16" s="27" t="s">
        <v>11</v>
      </c>
      <c r="I16" s="4" t="str">
        <f t="shared" si="0"/>
        <v>Mobile App</v>
      </c>
      <c r="J16" s="4" t="str">
        <f>IF(AND(IFERROR(FIND(Planned!$B$3,B16,1),0),$E16&lt;=Planned!$I$6, $E16&gt;=Planned!$H$6), "Yes","No")</f>
        <v>Yes</v>
      </c>
      <c r="K16" s="4">
        <f>F16*VLOOKUP($G16,Planned!$C$14:$E$16,3,FALSE)</f>
        <v>220</v>
      </c>
    </row>
    <row r="17" spans="1:11" x14ac:dyDescent="0.2">
      <c r="A17" s="27">
        <v>4041</v>
      </c>
      <c r="B17" s="27" t="s">
        <v>8</v>
      </c>
      <c r="C17" s="27" t="s">
        <v>9</v>
      </c>
      <c r="E17" s="28">
        <v>46039</v>
      </c>
      <c r="F17" s="27">
        <v>4</v>
      </c>
      <c r="G17" s="27" t="s">
        <v>10</v>
      </c>
      <c r="H17" s="27" t="s">
        <v>11</v>
      </c>
      <c r="I17" s="4" t="str">
        <f t="shared" si="0"/>
        <v>Mobile App</v>
      </c>
      <c r="J17" s="4" t="str">
        <f>IF(AND(IFERROR(FIND(Planned!$B$3,B17,1),0),$E17&lt;=Planned!$I$6, $E17&gt;=Planned!$H$6), "Yes","No")</f>
        <v>Yes</v>
      </c>
      <c r="K17" s="4">
        <f>F17*VLOOKUP($G17,Planned!$C$14:$E$16,3,FALSE)</f>
        <v>200</v>
      </c>
    </row>
    <row r="18" spans="1:11" x14ac:dyDescent="0.2">
      <c r="A18" s="27">
        <v>4041</v>
      </c>
      <c r="B18" s="27" t="s">
        <v>8</v>
      </c>
      <c r="C18" s="27" t="s">
        <v>9</v>
      </c>
      <c r="E18" s="28">
        <v>46040</v>
      </c>
      <c r="F18" s="27">
        <v>4</v>
      </c>
      <c r="G18" s="27" t="s">
        <v>10</v>
      </c>
      <c r="H18" s="27" t="s">
        <v>11</v>
      </c>
      <c r="I18" s="4" t="str">
        <f t="shared" si="0"/>
        <v>Mobile App</v>
      </c>
      <c r="J18" s="4" t="str">
        <f>IF(AND(IFERROR(FIND(Planned!$B$3,B18,1),0),$E18&lt;=Planned!$I$6, $E18&gt;=Planned!$H$6), "Yes","No")</f>
        <v>Yes</v>
      </c>
      <c r="K18" s="4">
        <f>F18*VLOOKUP($G18,Planned!$C$14:$E$16,3,FALSE)</f>
        <v>200</v>
      </c>
    </row>
    <row r="19" spans="1:11" x14ac:dyDescent="0.2">
      <c r="A19" s="27">
        <v>4041</v>
      </c>
      <c r="B19" s="27" t="s">
        <v>8</v>
      </c>
      <c r="C19" s="27" t="s">
        <v>9</v>
      </c>
      <c r="E19" s="28">
        <v>46041</v>
      </c>
      <c r="F19" s="27">
        <v>4</v>
      </c>
      <c r="G19" s="27" t="s">
        <v>10</v>
      </c>
      <c r="H19" s="27" t="s">
        <v>11</v>
      </c>
      <c r="I19" s="4" t="str">
        <f t="shared" si="0"/>
        <v>Mobile App</v>
      </c>
      <c r="J19" s="4" t="str">
        <f>IF(AND(IFERROR(FIND(Planned!$B$3,B19,1),0),$E19&lt;=Planned!$I$6, $E19&gt;=Planned!$H$6), "Yes","No")</f>
        <v>Yes</v>
      </c>
      <c r="K19" s="4">
        <f>F19*VLOOKUP($G19,Planned!$C$14:$E$16,3,FALSE)</f>
        <v>200</v>
      </c>
    </row>
    <row r="20" spans="1:11" x14ac:dyDescent="0.2">
      <c r="A20" s="27">
        <v>4041</v>
      </c>
      <c r="B20" s="27" t="s">
        <v>8</v>
      </c>
      <c r="C20" s="27" t="s">
        <v>9</v>
      </c>
      <c r="E20" s="28">
        <v>46042</v>
      </c>
      <c r="F20" s="27">
        <v>4</v>
      </c>
      <c r="G20" s="27" t="s">
        <v>10</v>
      </c>
      <c r="H20" s="27" t="s">
        <v>12</v>
      </c>
      <c r="I20" s="4" t="str">
        <f t="shared" si="0"/>
        <v>Integration API</v>
      </c>
      <c r="J20" s="4" t="str">
        <f>IF(AND(IFERROR(FIND(Planned!$B$3,B20,1),0),$E20&lt;=Planned!$I$6, $E20&gt;=Planned!$H$6), "Yes","No")</f>
        <v>Yes</v>
      </c>
      <c r="K20" s="4">
        <f>F20*VLOOKUP($G20,Planned!$C$14:$E$16,3,FALSE)</f>
        <v>200</v>
      </c>
    </row>
    <row r="21" spans="1:11" x14ac:dyDescent="0.2">
      <c r="A21" s="27">
        <v>4041</v>
      </c>
      <c r="B21" s="27" t="s">
        <v>8</v>
      </c>
      <c r="C21" s="27" t="s">
        <v>9</v>
      </c>
      <c r="E21" s="28">
        <v>46043</v>
      </c>
      <c r="F21" s="27">
        <v>4</v>
      </c>
      <c r="G21" s="27" t="s">
        <v>10</v>
      </c>
      <c r="H21" s="27" t="s">
        <v>12</v>
      </c>
      <c r="I21" s="4" t="str">
        <f t="shared" si="0"/>
        <v>Integration API</v>
      </c>
      <c r="J21" s="4" t="str">
        <f>IF(AND(IFERROR(FIND(Planned!$B$3,B21,1),0),$E21&lt;=Planned!$I$6, $E21&gt;=Planned!$H$6), "Yes","No")</f>
        <v>Yes</v>
      </c>
      <c r="K21" s="4">
        <f>F21*VLOOKUP($G21,Planned!$C$14:$E$16,3,FALSE)</f>
        <v>200</v>
      </c>
    </row>
    <row r="22" spans="1:11" x14ac:dyDescent="0.2">
      <c r="A22" s="27">
        <v>4041</v>
      </c>
      <c r="B22" s="27" t="s">
        <v>8</v>
      </c>
      <c r="C22" s="27" t="s">
        <v>9</v>
      </c>
      <c r="E22" s="28">
        <v>46044</v>
      </c>
      <c r="F22" s="27">
        <v>4</v>
      </c>
      <c r="G22" s="27" t="s">
        <v>10</v>
      </c>
      <c r="H22" s="27" t="s">
        <v>12</v>
      </c>
      <c r="I22" s="4" t="str">
        <f t="shared" si="0"/>
        <v>Integration API</v>
      </c>
      <c r="J22" s="4" t="str">
        <f>IF(AND(IFERROR(FIND(Planned!$B$3,B22,1),0),$E22&lt;=Planned!$I$6, $E22&gt;=Planned!$H$6), "Yes","No")</f>
        <v>Yes</v>
      </c>
      <c r="K22" s="4">
        <f>F22*VLOOKUP($G22,Planned!$C$14:$E$16,3,FALSE)</f>
        <v>200</v>
      </c>
    </row>
    <row r="23" spans="1:11" x14ac:dyDescent="0.2">
      <c r="A23" s="27">
        <v>4041</v>
      </c>
      <c r="B23" s="27" t="s">
        <v>8</v>
      </c>
      <c r="C23" s="27" t="s">
        <v>9</v>
      </c>
      <c r="E23" s="28">
        <v>46045</v>
      </c>
      <c r="F23" s="27">
        <v>4</v>
      </c>
      <c r="G23" s="27" t="s">
        <v>10</v>
      </c>
      <c r="H23" s="27" t="s">
        <v>11</v>
      </c>
      <c r="I23" s="4" t="str">
        <f t="shared" si="0"/>
        <v>Mobile App</v>
      </c>
      <c r="J23" s="4" t="str">
        <f>IF(AND(IFERROR(FIND(Planned!$B$3,B23,1),0),$E23&lt;=Planned!$I$6, $E23&gt;=Planned!$H$6), "Yes","No")</f>
        <v>Yes</v>
      </c>
      <c r="K23" s="4">
        <f>F23*VLOOKUP($G23,Planned!$C$14:$E$16,3,FALSE)</f>
        <v>200</v>
      </c>
    </row>
    <row r="24" spans="1:11" x14ac:dyDescent="0.2">
      <c r="A24" s="27">
        <v>4041</v>
      </c>
      <c r="B24" s="27" t="s">
        <v>8</v>
      </c>
      <c r="C24" s="27" t="s">
        <v>9</v>
      </c>
      <c r="E24" s="28">
        <v>46046</v>
      </c>
      <c r="F24" s="27">
        <v>4</v>
      </c>
      <c r="G24" s="27" t="s">
        <v>10</v>
      </c>
      <c r="H24" s="27" t="s">
        <v>11</v>
      </c>
      <c r="I24" s="4" t="str">
        <f t="shared" si="0"/>
        <v>Mobile App</v>
      </c>
      <c r="J24" s="4" t="str">
        <f>IF(AND(IFERROR(FIND(Planned!$B$3,B24,1),0),$E24&lt;=Planned!$I$6, $E24&gt;=Planned!$H$6), "Yes","No")</f>
        <v>Yes</v>
      </c>
      <c r="K24" s="4">
        <f>F24*VLOOKUP($G24,Planned!$C$14:$E$16,3,FALSE)</f>
        <v>200</v>
      </c>
    </row>
    <row r="25" spans="1:11" x14ac:dyDescent="0.2">
      <c r="A25" s="27">
        <v>4041</v>
      </c>
      <c r="B25" s="27" t="s">
        <v>8</v>
      </c>
      <c r="C25" s="27" t="s">
        <v>9</v>
      </c>
      <c r="E25" s="28">
        <v>46047</v>
      </c>
      <c r="F25" s="27">
        <v>8</v>
      </c>
      <c r="G25" s="27" t="s">
        <v>10</v>
      </c>
      <c r="H25" s="27" t="s">
        <v>14</v>
      </c>
      <c r="I25" s="4" t="str">
        <f t="shared" si="0"/>
        <v>Reports</v>
      </c>
      <c r="J25" s="4" t="str">
        <f>IF(AND(IFERROR(FIND(Planned!$B$3,B25,1),0),$E25&lt;=Planned!$I$6, $E25&gt;=Planned!$H$6), "Yes","No")</f>
        <v>Yes</v>
      </c>
      <c r="K25" s="4">
        <f>F25*VLOOKUP($G25,Planned!$C$14:$E$16,3,FALSE)</f>
        <v>400</v>
      </c>
    </row>
    <row r="26" spans="1:11" x14ac:dyDescent="0.2">
      <c r="A26" s="27">
        <v>4041</v>
      </c>
      <c r="B26" s="27" t="s">
        <v>8</v>
      </c>
      <c r="C26" s="27" t="s">
        <v>9</v>
      </c>
      <c r="E26" s="28">
        <v>46048</v>
      </c>
      <c r="F26" s="27">
        <v>8</v>
      </c>
      <c r="G26" s="27" t="s">
        <v>10</v>
      </c>
      <c r="H26" s="27" t="s">
        <v>14</v>
      </c>
      <c r="I26" s="4" t="str">
        <f t="shared" si="0"/>
        <v>Reports</v>
      </c>
      <c r="J26" s="4" t="str">
        <f>IF(AND(IFERROR(FIND(Planned!$B$3,B26,1),0),$E26&lt;=Planned!$I$6, $E26&gt;=Planned!$H$6), "Yes","No")</f>
        <v>Yes</v>
      </c>
      <c r="K26" s="4">
        <f>F26*VLOOKUP($G26,Planned!$C$14:$E$16,3,FALSE)</f>
        <v>400</v>
      </c>
    </row>
    <row r="27" spans="1:11" x14ac:dyDescent="0.2">
      <c r="A27" s="27">
        <v>4041</v>
      </c>
      <c r="B27" s="27" t="s">
        <v>8</v>
      </c>
      <c r="C27" s="27" t="s">
        <v>9</v>
      </c>
      <c r="E27" s="28">
        <v>46049</v>
      </c>
      <c r="F27" s="27">
        <v>8</v>
      </c>
      <c r="G27" s="27" t="s">
        <v>10</v>
      </c>
      <c r="H27" s="27" t="s">
        <v>14</v>
      </c>
      <c r="I27" s="4" t="str">
        <f t="shared" si="0"/>
        <v>Reports</v>
      </c>
      <c r="J27" s="4" t="str">
        <f>IF(AND(IFERROR(FIND(Planned!$B$3,B27,1),0),$E27&lt;=Planned!$I$6, $E27&gt;=Planned!$H$6), "Yes","No")</f>
        <v>Yes</v>
      </c>
      <c r="K27" s="4">
        <f>F27*VLOOKUP($G27,Planned!$C$14:$E$16,3,FALSE)</f>
        <v>400</v>
      </c>
    </row>
    <row r="28" spans="1:11" x14ac:dyDescent="0.2">
      <c r="A28" s="27">
        <v>4041</v>
      </c>
      <c r="B28" s="27" t="s">
        <v>8</v>
      </c>
      <c r="C28" s="27" t="s">
        <v>9</v>
      </c>
      <c r="E28" s="28">
        <v>46050</v>
      </c>
      <c r="F28" s="27">
        <v>8</v>
      </c>
      <c r="G28" s="27" t="s">
        <v>10</v>
      </c>
      <c r="H28" s="27" t="s">
        <v>14</v>
      </c>
      <c r="I28" s="4" t="str">
        <f t="shared" si="0"/>
        <v>Reports</v>
      </c>
      <c r="J28" s="4" t="str">
        <f>IF(AND(IFERROR(FIND(Planned!$B$3,B28,1),0),$E28&lt;=Planned!$I$6, $E28&gt;=Planned!$H$6), "Yes","No")</f>
        <v>Yes</v>
      </c>
      <c r="K28" s="4">
        <f>F28*VLOOKUP($G28,Planned!$C$14:$E$16,3,FALSE)</f>
        <v>400</v>
      </c>
    </row>
    <row r="29" spans="1:11" x14ac:dyDescent="0.2">
      <c r="A29" s="27">
        <v>4041</v>
      </c>
      <c r="B29" s="27" t="s">
        <v>8</v>
      </c>
      <c r="C29" s="27" t="s">
        <v>9</v>
      </c>
      <c r="E29" s="28">
        <v>46051</v>
      </c>
      <c r="F29" s="27">
        <v>4</v>
      </c>
      <c r="G29" s="27" t="s">
        <v>10</v>
      </c>
      <c r="H29" s="27" t="s">
        <v>14</v>
      </c>
      <c r="I29" s="4" t="str">
        <f t="shared" si="0"/>
        <v>Reports</v>
      </c>
      <c r="J29" s="4" t="str">
        <f>IF(AND(IFERROR(FIND(Planned!$B$3,B29,1),0),$E29&lt;=Planned!$I$6, $E29&gt;=Planned!$H$6), "Yes","No")</f>
        <v>Yes</v>
      </c>
      <c r="K29" s="4">
        <f>F29*VLOOKUP($G29,Planned!$C$14:$E$16,3,FALSE)</f>
        <v>200</v>
      </c>
    </row>
    <row r="30" spans="1:11" hidden="1" x14ac:dyDescent="0.2">
      <c r="A30" s="27">
        <v>4041</v>
      </c>
      <c r="B30" s="27" t="s">
        <v>8</v>
      </c>
      <c r="C30" s="27" t="s">
        <v>9</v>
      </c>
      <c r="D30" s="27" t="s">
        <v>11</v>
      </c>
      <c r="E30" s="28">
        <v>46113</v>
      </c>
      <c r="F30" s="27">
        <v>8</v>
      </c>
      <c r="G30" s="27" t="s">
        <v>10</v>
      </c>
      <c r="I30" s="4" t="str">
        <f t="shared" si="0"/>
        <v>Mobile App</v>
      </c>
      <c r="J30" s="4" t="str">
        <f>IF(AND(IFERROR(FIND(Planned!$B$3,B30,1),0),$E30&lt;=Planned!$I$6, $E30&gt;=Planned!$H$6), "Yes","No")</f>
        <v>No</v>
      </c>
      <c r="K30" s="4">
        <f>F30*VLOOKUP($G30,Planned!$C$14:$E$16,3,FALSE)</f>
        <v>400</v>
      </c>
    </row>
    <row r="31" spans="1:11" hidden="1" x14ac:dyDescent="0.2">
      <c r="A31" s="27">
        <v>4041</v>
      </c>
      <c r="B31" s="27" t="s">
        <v>8</v>
      </c>
      <c r="C31" s="27" t="s">
        <v>9</v>
      </c>
      <c r="D31" s="27" t="s">
        <v>11</v>
      </c>
      <c r="E31" s="28">
        <v>46114</v>
      </c>
      <c r="F31" s="27">
        <v>8</v>
      </c>
      <c r="G31" s="27" t="s">
        <v>10</v>
      </c>
      <c r="I31" s="4" t="str">
        <f t="shared" si="0"/>
        <v>Mobile App</v>
      </c>
      <c r="J31" s="4" t="str">
        <f>IF(AND(IFERROR(FIND(Planned!$B$3,B31,1),0),$E31&lt;=Planned!$I$6, $E31&gt;=Planned!$H$6), "Yes","No")</f>
        <v>No</v>
      </c>
      <c r="K31" s="4">
        <f>F31*VLOOKUP($G31,Planned!$C$14:$E$16,3,FALSE)</f>
        <v>400</v>
      </c>
    </row>
    <row r="32" spans="1:11" hidden="1" x14ac:dyDescent="0.2">
      <c r="A32" s="27">
        <v>4041</v>
      </c>
      <c r="B32" s="27" t="s">
        <v>8</v>
      </c>
      <c r="C32" s="27" t="s">
        <v>9</v>
      </c>
      <c r="D32" s="27" t="s">
        <v>11</v>
      </c>
      <c r="E32" s="28">
        <v>46115</v>
      </c>
      <c r="F32" s="27">
        <v>4</v>
      </c>
      <c r="G32" s="27" t="s">
        <v>10</v>
      </c>
      <c r="I32" s="4" t="str">
        <f t="shared" si="0"/>
        <v>Mobile App</v>
      </c>
      <c r="J32" s="4" t="str">
        <f>IF(AND(IFERROR(FIND(Planned!$B$3,B32,1),0),$E32&lt;=Planned!$I$6, $E32&gt;=Planned!$H$6), "Yes","No")</f>
        <v>No</v>
      </c>
      <c r="K32" s="4">
        <f>F32*VLOOKUP($G32,Planned!$C$14:$E$16,3,FALSE)</f>
        <v>200</v>
      </c>
    </row>
    <row r="33" spans="1:11" hidden="1" x14ac:dyDescent="0.2">
      <c r="A33" s="27">
        <v>4041</v>
      </c>
      <c r="B33" s="27" t="s">
        <v>8</v>
      </c>
      <c r="C33" s="27" t="s">
        <v>9</v>
      </c>
      <c r="D33" s="27" t="s">
        <v>11</v>
      </c>
      <c r="E33" s="28">
        <v>46116</v>
      </c>
      <c r="F33" s="27">
        <v>4</v>
      </c>
      <c r="G33" s="27" t="s">
        <v>10</v>
      </c>
      <c r="I33" s="4" t="str">
        <f t="shared" si="0"/>
        <v>Mobile App</v>
      </c>
      <c r="J33" s="4" t="str">
        <f>IF(AND(IFERROR(FIND(Planned!$B$3,B33,1),0),$E33&lt;=Planned!$I$6, $E33&gt;=Planned!$H$6), "Yes","No")</f>
        <v>No</v>
      </c>
      <c r="K33" s="4">
        <f>F33*VLOOKUP($G33,Planned!$C$14:$E$16,3,FALSE)</f>
        <v>200</v>
      </c>
    </row>
    <row r="34" spans="1:11" hidden="1" x14ac:dyDescent="0.2">
      <c r="A34" s="27">
        <v>4041</v>
      </c>
      <c r="B34" s="27" t="s">
        <v>8</v>
      </c>
      <c r="C34" s="27" t="s">
        <v>9</v>
      </c>
      <c r="D34" s="27" t="s">
        <v>11</v>
      </c>
      <c r="E34" s="28">
        <v>46117</v>
      </c>
      <c r="F34" s="27">
        <v>4</v>
      </c>
      <c r="G34" s="27" t="s">
        <v>13</v>
      </c>
      <c r="I34" s="4" t="str">
        <f t="shared" si="0"/>
        <v>Mobile App</v>
      </c>
      <c r="J34" s="4" t="str">
        <f>IF(AND(IFERROR(FIND(Planned!$B$3,B34,1),0),$E34&lt;=Planned!$I$6, $E34&gt;=Planned!$H$6), "Yes","No")</f>
        <v>No</v>
      </c>
      <c r="K34" s="4">
        <f>F34*VLOOKUP($G34,Planned!$C$14:$E$16,3,FALSE)</f>
        <v>220</v>
      </c>
    </row>
    <row r="35" spans="1:11" hidden="1" x14ac:dyDescent="0.2">
      <c r="A35" s="27">
        <v>4041</v>
      </c>
      <c r="B35" s="27" t="s">
        <v>8</v>
      </c>
      <c r="C35" s="27" t="s">
        <v>9</v>
      </c>
      <c r="D35" s="27" t="s">
        <v>11</v>
      </c>
      <c r="E35" s="28">
        <v>46118</v>
      </c>
      <c r="F35" s="27">
        <v>4</v>
      </c>
      <c r="G35" s="27" t="s">
        <v>13</v>
      </c>
      <c r="I35" s="4" t="str">
        <f t="shared" si="0"/>
        <v>Mobile App</v>
      </c>
      <c r="J35" s="4" t="str">
        <f>IF(AND(IFERROR(FIND(Planned!$B$3,B35,1),0),$E35&lt;=Planned!$I$6, $E35&gt;=Planned!$H$6), "Yes","No")</f>
        <v>No</v>
      </c>
      <c r="K35" s="4">
        <f>F35*VLOOKUP($G35,Planned!$C$14:$E$16,3,FALSE)</f>
        <v>220</v>
      </c>
    </row>
    <row r="36" spans="1:11" hidden="1" x14ac:dyDescent="0.2">
      <c r="A36" s="27">
        <v>4041</v>
      </c>
      <c r="B36" s="27" t="s">
        <v>8</v>
      </c>
      <c r="C36" s="27" t="s">
        <v>9</v>
      </c>
      <c r="D36" s="27" t="s">
        <v>11</v>
      </c>
      <c r="E36" s="28">
        <v>46119</v>
      </c>
      <c r="F36" s="27">
        <v>4</v>
      </c>
      <c r="G36" s="27" t="s">
        <v>13</v>
      </c>
      <c r="I36" s="4" t="str">
        <f t="shared" si="0"/>
        <v>Mobile App</v>
      </c>
      <c r="J36" s="4" t="str">
        <f>IF(AND(IFERROR(FIND(Planned!$B$3,B36,1),0),$E36&lt;=Planned!$I$6, $E36&gt;=Planned!$H$6), "Yes","No")</f>
        <v>No</v>
      </c>
      <c r="K36" s="4">
        <f>F36*VLOOKUP($G36,Planned!$C$14:$E$16,3,FALSE)</f>
        <v>220</v>
      </c>
    </row>
    <row r="37" spans="1:11" hidden="1" x14ac:dyDescent="0.2">
      <c r="A37" s="27">
        <v>4041</v>
      </c>
      <c r="B37" s="27" t="s">
        <v>8</v>
      </c>
      <c r="C37" s="27" t="s">
        <v>9</v>
      </c>
      <c r="D37" s="27" t="s">
        <v>14</v>
      </c>
      <c r="E37" s="28">
        <v>46120</v>
      </c>
      <c r="F37" s="27">
        <v>4</v>
      </c>
      <c r="G37" s="27" t="s">
        <v>13</v>
      </c>
      <c r="I37" s="4" t="str">
        <f t="shared" si="0"/>
        <v>Reports</v>
      </c>
      <c r="J37" s="4" t="str">
        <f>IF(AND(IFERROR(FIND(Planned!$B$3,B37,1),0),$E37&lt;=Planned!$I$6, $E37&gt;=Planned!$H$6), "Yes","No")</f>
        <v>No</v>
      </c>
      <c r="K37" s="4">
        <f>F37*VLOOKUP($G37,Planned!$C$14:$E$16,3,FALSE)</f>
        <v>220</v>
      </c>
    </row>
    <row r="38" spans="1:11" x14ac:dyDescent="0.2">
      <c r="A38" s="27">
        <v>4041</v>
      </c>
      <c r="B38" s="27" t="s">
        <v>8</v>
      </c>
      <c r="C38" s="27" t="s">
        <v>9</v>
      </c>
      <c r="E38" s="28">
        <v>46060</v>
      </c>
      <c r="F38" s="27">
        <v>4</v>
      </c>
      <c r="G38" s="27" t="s">
        <v>13</v>
      </c>
      <c r="H38" s="27" t="s">
        <v>12</v>
      </c>
      <c r="I38" s="4" t="str">
        <f t="shared" si="0"/>
        <v>Integration API</v>
      </c>
      <c r="J38" s="4" t="str">
        <f>IF(AND(IFERROR(FIND(Planned!$B$3,B38,1),0),$E38&lt;=Planned!$I$6, $E38&gt;=Planned!$H$6), "Yes","No")</f>
        <v>Yes</v>
      </c>
      <c r="K38" s="4">
        <f>F38*VLOOKUP($G38,Planned!$C$14:$E$16,3,FALSE)</f>
        <v>220</v>
      </c>
    </row>
    <row r="39" spans="1:11" x14ac:dyDescent="0.2">
      <c r="A39" s="27">
        <v>4041</v>
      </c>
      <c r="B39" s="27" t="s">
        <v>8</v>
      </c>
      <c r="C39" s="27" t="s">
        <v>9</v>
      </c>
      <c r="E39" s="28">
        <v>46061</v>
      </c>
      <c r="F39" s="27">
        <v>4</v>
      </c>
      <c r="G39" s="27" t="s">
        <v>10</v>
      </c>
      <c r="H39" s="27" t="s">
        <v>12</v>
      </c>
      <c r="I39" s="4" t="str">
        <f t="shared" si="0"/>
        <v>Integration API</v>
      </c>
      <c r="J39" s="4" t="str">
        <f>IF(AND(IFERROR(FIND(Planned!$B$3,B39,1),0),$E39&lt;=Planned!$I$6, $E39&gt;=Planned!$H$6), "Yes","No")</f>
        <v>Yes</v>
      </c>
      <c r="K39" s="4">
        <f>F39*VLOOKUP($G39,Planned!$C$14:$E$16,3,FALSE)</f>
        <v>200</v>
      </c>
    </row>
    <row r="40" spans="1:11" x14ac:dyDescent="0.2">
      <c r="A40" s="27">
        <v>4041</v>
      </c>
      <c r="B40" s="27" t="s">
        <v>8</v>
      </c>
      <c r="C40" s="27" t="s">
        <v>9</v>
      </c>
      <c r="E40" s="28">
        <v>46062</v>
      </c>
      <c r="F40" s="27">
        <v>4</v>
      </c>
      <c r="G40" s="27" t="s">
        <v>10</v>
      </c>
      <c r="H40" s="27" t="s">
        <v>12</v>
      </c>
      <c r="I40" s="4" t="str">
        <f t="shared" si="0"/>
        <v>Integration API</v>
      </c>
      <c r="J40" s="4" t="str">
        <f>IF(AND(IFERROR(FIND(Planned!$B$3,B40,1),0),$E40&lt;=Planned!$I$6, $E40&gt;=Planned!$H$6), "Yes","No")</f>
        <v>Yes</v>
      </c>
      <c r="K40" s="4">
        <f>F40*VLOOKUP($G40,Planned!$C$14:$E$16,3,FALSE)</f>
        <v>200</v>
      </c>
    </row>
    <row r="41" spans="1:11" x14ac:dyDescent="0.2">
      <c r="A41" s="27">
        <v>4041</v>
      </c>
      <c r="B41" s="27" t="s">
        <v>8</v>
      </c>
      <c r="C41" s="27" t="s">
        <v>9</v>
      </c>
      <c r="E41" s="28">
        <v>46063</v>
      </c>
      <c r="F41" s="27">
        <v>4</v>
      </c>
      <c r="G41" s="27" t="s">
        <v>10</v>
      </c>
      <c r="H41" s="27" t="s">
        <v>12</v>
      </c>
      <c r="I41" s="4" t="str">
        <f t="shared" si="0"/>
        <v>Integration API</v>
      </c>
      <c r="J41" s="4" t="str">
        <f>IF(AND(IFERROR(FIND(Planned!$B$3,B41,1),0),$E41&lt;=Planned!$I$6, $E41&gt;=Planned!$H$6), "Yes","No")</f>
        <v>Yes</v>
      </c>
      <c r="K41" s="4">
        <f>F41*VLOOKUP($G41,Planned!$C$14:$E$16,3,FALSE)</f>
        <v>200</v>
      </c>
    </row>
    <row r="42" spans="1:11" x14ac:dyDescent="0.2">
      <c r="A42" s="27">
        <v>4041</v>
      </c>
      <c r="B42" s="27" t="s">
        <v>8</v>
      </c>
      <c r="C42" s="27" t="s">
        <v>9</v>
      </c>
      <c r="E42" s="28">
        <v>46064</v>
      </c>
      <c r="F42" s="27">
        <v>4</v>
      </c>
      <c r="G42" s="27" t="s">
        <v>10</v>
      </c>
      <c r="H42" s="27" t="s">
        <v>12</v>
      </c>
      <c r="I42" s="4" t="str">
        <f t="shared" si="0"/>
        <v>Integration API</v>
      </c>
      <c r="J42" s="4" t="str">
        <f>IF(AND(IFERROR(FIND(Planned!$B$3,B42,1),0),$E42&lt;=Planned!$I$6, $E42&gt;=Planned!$H$6), "Yes","No")</f>
        <v>Yes</v>
      </c>
      <c r="K42" s="4">
        <f>F42*VLOOKUP($G42,Planned!$C$14:$E$16,3,FALSE)</f>
        <v>200</v>
      </c>
    </row>
    <row r="43" spans="1:11" x14ac:dyDescent="0.2">
      <c r="A43" s="27">
        <v>4041</v>
      </c>
      <c r="B43" s="27" t="s">
        <v>8</v>
      </c>
      <c r="C43" s="27" t="s">
        <v>9</v>
      </c>
      <c r="E43" s="28">
        <v>46065</v>
      </c>
      <c r="F43" s="27">
        <v>4</v>
      </c>
      <c r="G43" s="27" t="s">
        <v>10</v>
      </c>
      <c r="H43" s="27" t="s">
        <v>11</v>
      </c>
      <c r="I43" s="4" t="str">
        <f t="shared" si="0"/>
        <v>Mobile App</v>
      </c>
      <c r="J43" s="4" t="str">
        <f>IF(AND(IFERROR(FIND(Planned!$B$3,B43,1),0),$E43&lt;=Planned!$I$6, $E43&gt;=Planned!$H$6), "Yes","No")</f>
        <v>Yes</v>
      </c>
      <c r="K43" s="4">
        <f>F43*VLOOKUP($G43,Planned!$C$14:$E$16,3,FALSE)</f>
        <v>200</v>
      </c>
    </row>
    <row r="44" spans="1:11" x14ac:dyDescent="0.2">
      <c r="A44" s="27">
        <v>4041</v>
      </c>
      <c r="B44" s="27" t="s">
        <v>8</v>
      </c>
      <c r="C44" s="27" t="s">
        <v>9</v>
      </c>
      <c r="E44" s="28">
        <v>46066</v>
      </c>
      <c r="F44" s="27">
        <v>4</v>
      </c>
      <c r="G44" s="27" t="s">
        <v>10</v>
      </c>
      <c r="H44" s="27" t="s">
        <v>11</v>
      </c>
      <c r="I44" s="4" t="str">
        <f t="shared" si="0"/>
        <v>Mobile App</v>
      </c>
      <c r="J44" s="4" t="str">
        <f>IF(AND(IFERROR(FIND(Planned!$B$3,B44,1),0),$E44&lt;=Planned!$I$6, $E44&gt;=Planned!$H$6), "Yes","No")</f>
        <v>Yes</v>
      </c>
      <c r="K44" s="4">
        <f>F44*VLOOKUP($G44,Planned!$C$14:$E$16,3,FALSE)</f>
        <v>200</v>
      </c>
    </row>
    <row r="45" spans="1:11" x14ac:dyDescent="0.2">
      <c r="A45" s="27">
        <v>4041</v>
      </c>
      <c r="B45" s="27" t="s">
        <v>8</v>
      </c>
      <c r="C45" s="27" t="s">
        <v>9</v>
      </c>
      <c r="E45" s="28">
        <v>46067</v>
      </c>
      <c r="F45" s="27">
        <v>4</v>
      </c>
      <c r="G45" s="27" t="s">
        <v>10</v>
      </c>
      <c r="H45" s="27" t="s">
        <v>11</v>
      </c>
      <c r="I45" s="4" t="str">
        <f t="shared" si="0"/>
        <v>Mobile App</v>
      </c>
      <c r="J45" s="4" t="str">
        <f>IF(AND(IFERROR(FIND(Planned!$B$3,B45,1),0),$E45&lt;=Planned!$I$6, $E45&gt;=Planned!$H$6), "Yes","No")</f>
        <v>Yes</v>
      </c>
      <c r="K45" s="4">
        <f>F45*VLOOKUP($G45,Planned!$C$14:$E$16,3,FALSE)</f>
        <v>200</v>
      </c>
    </row>
    <row r="46" spans="1:11" x14ac:dyDescent="0.2">
      <c r="A46" s="27">
        <v>4041</v>
      </c>
      <c r="B46" s="27" t="s">
        <v>8</v>
      </c>
      <c r="C46" s="27" t="s">
        <v>9</v>
      </c>
      <c r="E46" s="28">
        <v>46068</v>
      </c>
      <c r="F46" s="27">
        <v>4</v>
      </c>
      <c r="G46" s="27" t="s">
        <v>10</v>
      </c>
      <c r="H46" s="27" t="s">
        <v>11</v>
      </c>
      <c r="I46" s="4" t="str">
        <f t="shared" si="0"/>
        <v>Mobile App</v>
      </c>
      <c r="J46" s="4" t="str">
        <f>IF(AND(IFERROR(FIND(Planned!$B$3,B46,1),0),$E46&lt;=Planned!$I$6, $E46&gt;=Planned!$H$6), "Yes","No")</f>
        <v>Yes</v>
      </c>
      <c r="K46" s="4">
        <f>F46*VLOOKUP($G46,Planned!$C$14:$E$16,3,FALSE)</f>
        <v>200</v>
      </c>
    </row>
    <row r="47" spans="1:11" x14ac:dyDescent="0.2">
      <c r="A47" s="27">
        <v>4041</v>
      </c>
      <c r="B47" s="27" t="s">
        <v>8</v>
      </c>
      <c r="C47" s="27" t="s">
        <v>9</v>
      </c>
      <c r="E47" s="28">
        <v>46069</v>
      </c>
      <c r="F47" s="27">
        <v>8</v>
      </c>
      <c r="G47" s="27" t="s">
        <v>10</v>
      </c>
      <c r="H47" s="27" t="s">
        <v>11</v>
      </c>
      <c r="I47" s="4" t="str">
        <f t="shared" si="0"/>
        <v>Mobile App</v>
      </c>
      <c r="J47" s="4" t="str">
        <f>IF(AND(IFERROR(FIND(Planned!$B$3,B47,1),0),$E47&lt;=Planned!$I$6, $E47&gt;=Planned!$H$6), "Yes","No")</f>
        <v>Yes</v>
      </c>
      <c r="K47" s="4">
        <f>F47*VLOOKUP($G47,Planned!$C$14:$E$16,3,FALSE)</f>
        <v>400</v>
      </c>
    </row>
    <row r="48" spans="1:11" x14ac:dyDescent="0.2">
      <c r="A48" s="27">
        <v>4041</v>
      </c>
      <c r="B48" s="27" t="s">
        <v>8</v>
      </c>
      <c r="C48" s="27" t="s">
        <v>9</v>
      </c>
      <c r="E48" s="28">
        <v>46070</v>
      </c>
      <c r="F48" s="27">
        <v>8</v>
      </c>
      <c r="G48" s="27" t="s">
        <v>10</v>
      </c>
      <c r="H48" s="27" t="s">
        <v>11</v>
      </c>
      <c r="I48" s="4" t="str">
        <f t="shared" si="0"/>
        <v>Mobile App</v>
      </c>
      <c r="J48" s="4" t="str">
        <f>IF(AND(IFERROR(FIND(Planned!$B$3,B48,1),0),$E48&lt;=Planned!$I$6, $E48&gt;=Planned!$H$6), "Yes","No")</f>
        <v>Yes</v>
      </c>
      <c r="K48" s="4">
        <f>F48*VLOOKUP($G48,Planned!$C$14:$E$16,3,FALSE)</f>
        <v>400</v>
      </c>
    </row>
    <row r="49" spans="1:11" x14ac:dyDescent="0.2">
      <c r="A49" s="27">
        <v>4041</v>
      </c>
      <c r="B49" s="27" t="s">
        <v>8</v>
      </c>
      <c r="C49" s="27" t="s">
        <v>9</v>
      </c>
      <c r="E49" s="28">
        <v>46071</v>
      </c>
      <c r="F49" s="27">
        <v>4</v>
      </c>
      <c r="G49" s="27" t="s">
        <v>10</v>
      </c>
      <c r="H49" s="27" t="s">
        <v>12</v>
      </c>
      <c r="I49" s="4" t="str">
        <f t="shared" si="0"/>
        <v>Integration API</v>
      </c>
      <c r="J49" s="4" t="str">
        <f>IF(AND(IFERROR(FIND(Planned!$B$3,B49,1),0),$E49&lt;=Planned!$I$6, $E49&gt;=Planned!$H$6), "Yes","No")</f>
        <v>Yes</v>
      </c>
      <c r="K49" s="4">
        <f>F49*VLOOKUP($G49,Planned!$C$14:$E$16,3,FALSE)</f>
        <v>200</v>
      </c>
    </row>
    <row r="50" spans="1:11" x14ac:dyDescent="0.2">
      <c r="A50" s="27">
        <v>4041</v>
      </c>
      <c r="B50" s="27" t="s">
        <v>8</v>
      </c>
      <c r="C50" s="27" t="s">
        <v>9</v>
      </c>
      <c r="E50" s="28">
        <v>46072</v>
      </c>
      <c r="F50" s="27">
        <v>4</v>
      </c>
      <c r="G50" s="27" t="s">
        <v>10</v>
      </c>
      <c r="H50" s="27" t="s">
        <v>12</v>
      </c>
      <c r="I50" s="4" t="str">
        <f t="shared" si="0"/>
        <v>Integration API</v>
      </c>
      <c r="J50" s="4" t="str">
        <f>IF(AND(IFERROR(FIND(Planned!$B$3,B50,1),0),$E50&lt;=Planned!$I$6, $E50&gt;=Planned!$H$6), "Yes","No")</f>
        <v>Yes</v>
      </c>
      <c r="K50" s="4">
        <f>F50*VLOOKUP($G50,Planned!$C$14:$E$16,3,FALSE)</f>
        <v>200</v>
      </c>
    </row>
    <row r="51" spans="1:11" x14ac:dyDescent="0.2">
      <c r="A51" s="27">
        <v>4041</v>
      </c>
      <c r="B51" s="27" t="s">
        <v>8</v>
      </c>
      <c r="C51" s="27" t="s">
        <v>9</v>
      </c>
      <c r="E51" s="28">
        <v>46073</v>
      </c>
      <c r="F51" s="27">
        <v>4</v>
      </c>
      <c r="G51" s="27" t="s">
        <v>10</v>
      </c>
      <c r="H51" s="27" t="s">
        <v>12</v>
      </c>
      <c r="I51" s="4" t="str">
        <f t="shared" si="0"/>
        <v>Integration API</v>
      </c>
      <c r="J51" s="4" t="str">
        <f>IF(AND(IFERROR(FIND(Planned!$B$3,B51,1),0),$E51&lt;=Planned!$I$6, $E51&gt;=Planned!$H$6), "Yes","No")</f>
        <v>Yes</v>
      </c>
      <c r="K51" s="4">
        <f>F51*VLOOKUP($G51,Planned!$C$14:$E$16,3,FALSE)</f>
        <v>200</v>
      </c>
    </row>
    <row r="52" spans="1:11" x14ac:dyDescent="0.2">
      <c r="A52" s="27">
        <v>4041</v>
      </c>
      <c r="B52" s="27" t="s">
        <v>8</v>
      </c>
      <c r="C52" s="27" t="s">
        <v>9</v>
      </c>
      <c r="E52" s="28">
        <v>46074</v>
      </c>
      <c r="F52" s="27">
        <v>4</v>
      </c>
      <c r="G52" s="27" t="s">
        <v>10</v>
      </c>
      <c r="H52" s="27" t="s">
        <v>12</v>
      </c>
      <c r="I52" s="4" t="str">
        <f t="shared" si="0"/>
        <v>Integration API</v>
      </c>
      <c r="J52" s="4" t="str">
        <f>IF(AND(IFERROR(FIND(Planned!$B$3,B52,1),0),$E52&lt;=Planned!$I$6, $E52&gt;=Planned!$H$6), "Yes","No")</f>
        <v>Yes</v>
      </c>
      <c r="K52" s="4">
        <f>F52*VLOOKUP($G52,Planned!$C$14:$E$16,3,FALSE)</f>
        <v>200</v>
      </c>
    </row>
    <row r="53" spans="1:11" x14ac:dyDescent="0.2">
      <c r="A53" s="27">
        <v>4041</v>
      </c>
      <c r="B53" s="27" t="s">
        <v>8</v>
      </c>
      <c r="C53" s="27" t="s">
        <v>9</v>
      </c>
      <c r="E53" s="28">
        <v>46075</v>
      </c>
      <c r="F53" s="27">
        <v>4</v>
      </c>
      <c r="G53" s="27" t="s">
        <v>10</v>
      </c>
      <c r="H53" s="27" t="s">
        <v>12</v>
      </c>
      <c r="I53" s="4" t="str">
        <f t="shared" si="0"/>
        <v>Integration API</v>
      </c>
      <c r="J53" s="4" t="str">
        <f>IF(AND(IFERROR(FIND(Planned!$B$3,B53,1),0),$E53&lt;=Planned!$I$6, $E53&gt;=Planned!$H$6), "Yes","No")</f>
        <v>Yes</v>
      </c>
      <c r="K53" s="4">
        <f>F53*VLOOKUP($G53,Planned!$C$14:$E$16,3,FALSE)</f>
        <v>200</v>
      </c>
    </row>
    <row r="54" spans="1:11" x14ac:dyDescent="0.2">
      <c r="A54" s="27">
        <v>4041</v>
      </c>
      <c r="B54" s="27" t="s">
        <v>8</v>
      </c>
      <c r="C54" s="27" t="s">
        <v>9</v>
      </c>
      <c r="E54" s="28">
        <v>46076</v>
      </c>
      <c r="F54" s="27">
        <v>4</v>
      </c>
      <c r="G54" s="27" t="s">
        <v>10</v>
      </c>
      <c r="H54" s="27" t="s">
        <v>11</v>
      </c>
      <c r="I54" s="4" t="str">
        <f t="shared" si="0"/>
        <v>Mobile App</v>
      </c>
      <c r="J54" s="4" t="str">
        <f>IF(AND(IFERROR(FIND(Planned!$B$3,B54,1),0),$E54&lt;=Planned!$I$6, $E54&gt;=Planned!$H$6), "Yes","No")</f>
        <v>Yes</v>
      </c>
      <c r="K54" s="4">
        <f>F54*VLOOKUP($G54,Planned!$C$14:$E$16,3,FALSE)</f>
        <v>200</v>
      </c>
    </row>
    <row r="55" spans="1:11" x14ac:dyDescent="0.2">
      <c r="A55" s="27">
        <v>4041</v>
      </c>
      <c r="B55" s="27" t="s">
        <v>8</v>
      </c>
      <c r="C55" s="27" t="s">
        <v>9</v>
      </c>
      <c r="E55" s="28">
        <v>46077</v>
      </c>
      <c r="F55" s="27">
        <v>4</v>
      </c>
      <c r="G55" s="27" t="s">
        <v>10</v>
      </c>
      <c r="H55" s="27" t="s">
        <v>11</v>
      </c>
      <c r="I55" s="4" t="str">
        <f t="shared" si="0"/>
        <v>Mobile App</v>
      </c>
      <c r="J55" s="4" t="str">
        <f>IF(AND(IFERROR(FIND(Planned!$B$3,B55,1),0),$E55&lt;=Planned!$I$6, $E55&gt;=Planned!$H$6), "Yes","No")</f>
        <v>Yes</v>
      </c>
      <c r="K55" s="4">
        <f>F55*VLOOKUP($G55,Planned!$C$14:$E$16,3,FALSE)</f>
        <v>200</v>
      </c>
    </row>
    <row r="56" spans="1:11" x14ac:dyDescent="0.2">
      <c r="A56" s="27">
        <v>4041</v>
      </c>
      <c r="B56" s="27" t="s">
        <v>8</v>
      </c>
      <c r="C56" s="27" t="s">
        <v>9</v>
      </c>
      <c r="E56" s="28">
        <v>46078</v>
      </c>
      <c r="F56" s="27">
        <v>4</v>
      </c>
      <c r="G56" s="27" t="s">
        <v>10</v>
      </c>
      <c r="H56" s="27" t="s">
        <v>11</v>
      </c>
      <c r="I56" s="4" t="str">
        <f t="shared" si="0"/>
        <v>Mobile App</v>
      </c>
      <c r="J56" s="4" t="str">
        <f>IF(AND(IFERROR(FIND(Planned!$B$3,B56,1),0),$E56&lt;=Planned!$I$6, $E56&gt;=Planned!$H$6), "Yes","No")</f>
        <v>Yes</v>
      </c>
      <c r="K56" s="4">
        <f>F56*VLOOKUP($G56,Planned!$C$14:$E$16,3,FALSE)</f>
        <v>200</v>
      </c>
    </row>
    <row r="57" spans="1:11" x14ac:dyDescent="0.2">
      <c r="A57" s="27">
        <v>4041</v>
      </c>
      <c r="B57" s="27" t="s">
        <v>8</v>
      </c>
      <c r="C57" s="27" t="s">
        <v>9</v>
      </c>
      <c r="E57" s="28">
        <v>46079</v>
      </c>
      <c r="F57" s="27">
        <v>4</v>
      </c>
      <c r="G57" s="27" t="s">
        <v>10</v>
      </c>
      <c r="H57" s="27" t="s">
        <v>11</v>
      </c>
      <c r="I57" s="4" t="str">
        <f t="shared" si="0"/>
        <v>Mobile App</v>
      </c>
      <c r="J57" s="4" t="str">
        <f>IF(AND(IFERROR(FIND(Planned!$B$3,B57,1),0),$E57&lt;=Planned!$I$6, $E57&gt;=Planned!$H$6), "Yes","No")</f>
        <v>Yes</v>
      </c>
      <c r="K57" s="4">
        <f>F57*VLOOKUP($G57,Planned!$C$14:$E$16,3,FALSE)</f>
        <v>200</v>
      </c>
    </row>
    <row r="58" spans="1:11" x14ac:dyDescent="0.2">
      <c r="A58" s="27">
        <v>4041</v>
      </c>
      <c r="B58" s="27" t="s">
        <v>8</v>
      </c>
      <c r="C58" s="27" t="s">
        <v>9</v>
      </c>
      <c r="E58" s="28">
        <v>46080</v>
      </c>
      <c r="F58" s="27">
        <v>4</v>
      </c>
      <c r="G58" s="27" t="s">
        <v>10</v>
      </c>
      <c r="H58" s="27" t="s">
        <v>11</v>
      </c>
      <c r="I58" s="4" t="str">
        <f t="shared" si="0"/>
        <v>Mobile App</v>
      </c>
      <c r="J58" s="4" t="str">
        <f>IF(AND(IFERROR(FIND(Planned!$B$3,B58,1),0),$E58&lt;=Planned!$I$6, $E58&gt;=Planned!$H$6), "Yes","No")</f>
        <v>Yes</v>
      </c>
      <c r="K58" s="4">
        <f>F58*VLOOKUP($G58,Planned!$C$14:$E$16,3,FALSE)</f>
        <v>200</v>
      </c>
    </row>
    <row r="59" spans="1:11" x14ac:dyDescent="0.2">
      <c r="A59" s="27">
        <v>4041</v>
      </c>
      <c r="B59" s="27" t="s">
        <v>8</v>
      </c>
      <c r="C59" s="27" t="s">
        <v>9</v>
      </c>
      <c r="E59" s="28">
        <v>46081</v>
      </c>
      <c r="F59" s="27">
        <v>4</v>
      </c>
      <c r="G59" s="27" t="s">
        <v>10</v>
      </c>
      <c r="H59" s="27" t="s">
        <v>11</v>
      </c>
      <c r="I59" s="4" t="str">
        <f t="shared" si="0"/>
        <v>Mobile App</v>
      </c>
      <c r="J59" s="4" t="str">
        <f>IF(AND(IFERROR(FIND(Planned!$B$3,B59,1),0),$E59&lt;=Planned!$I$6, $E59&gt;=Planned!$H$6), "Yes","No")</f>
        <v>Yes</v>
      </c>
      <c r="K59" s="4">
        <f>F59*VLOOKUP($G59,Planned!$C$14:$E$16,3,FALSE)</f>
        <v>200</v>
      </c>
    </row>
    <row r="60" spans="1:11" x14ac:dyDescent="0.2">
      <c r="A60" s="27">
        <v>4041</v>
      </c>
      <c r="B60" s="27" t="s">
        <v>8</v>
      </c>
      <c r="C60" s="27" t="s">
        <v>9</v>
      </c>
      <c r="D60" s="27" t="s">
        <v>11</v>
      </c>
      <c r="E60" s="28">
        <v>46082</v>
      </c>
      <c r="F60" s="27">
        <v>4</v>
      </c>
      <c r="G60" s="27" t="s">
        <v>10</v>
      </c>
      <c r="I60" s="4" t="str">
        <f t="shared" si="0"/>
        <v>Mobile App</v>
      </c>
      <c r="J60" s="4" t="str">
        <f>IF(AND(IFERROR(FIND(Planned!$B$3,B60,1),0),$E60&lt;=Planned!$I$6, $E60&gt;=Planned!$H$6), "Yes","No")</f>
        <v>Yes</v>
      </c>
      <c r="K60" s="4">
        <f>F60*VLOOKUP($G60,Planned!$C$14:$E$16,3,FALSE)</f>
        <v>200</v>
      </c>
    </row>
    <row r="61" spans="1:11" x14ac:dyDescent="0.2">
      <c r="A61" s="27">
        <v>4041</v>
      </c>
      <c r="B61" s="27" t="s">
        <v>8</v>
      </c>
      <c r="C61" s="27" t="s">
        <v>9</v>
      </c>
      <c r="D61" s="27" t="s">
        <v>11</v>
      </c>
      <c r="E61" s="28">
        <v>46083</v>
      </c>
      <c r="F61" s="27">
        <v>8</v>
      </c>
      <c r="G61" s="27" t="s">
        <v>10</v>
      </c>
      <c r="I61" s="4" t="str">
        <f t="shared" si="0"/>
        <v>Mobile App</v>
      </c>
      <c r="J61" s="4" t="str">
        <f>IF(AND(IFERROR(FIND(Planned!$B$3,B61,1),0),$E61&lt;=Planned!$I$6, $E61&gt;=Planned!$H$6), "Yes","No")</f>
        <v>Yes</v>
      </c>
      <c r="K61" s="4">
        <f>F61*VLOOKUP($G61,Planned!$C$14:$E$16,3,FALSE)</f>
        <v>400</v>
      </c>
    </row>
    <row r="62" spans="1:11" hidden="1" x14ac:dyDescent="0.2">
      <c r="A62" s="27">
        <v>4042</v>
      </c>
      <c r="B62" s="27" t="s">
        <v>15</v>
      </c>
      <c r="C62" s="27" t="s">
        <v>9</v>
      </c>
      <c r="D62" s="27" t="s">
        <v>16</v>
      </c>
      <c r="E62" s="28">
        <v>46084</v>
      </c>
      <c r="F62" s="27">
        <v>8</v>
      </c>
      <c r="G62" s="27" t="s">
        <v>10</v>
      </c>
      <c r="I62" s="4" t="str">
        <f t="shared" si="0"/>
        <v>Maintenance</v>
      </c>
      <c r="J62" s="4" t="str">
        <f>IF(AND(IFERROR(FIND(Planned!$B$3,B62,1),0),$E62&lt;=Planned!$I$6, $E62&gt;=Planned!$H$6), "Yes","No")</f>
        <v>No</v>
      </c>
      <c r="K62" s="4">
        <f>F62*VLOOKUP($G62,Planned!$C$14:$E$16,3,FALSE)</f>
        <v>400</v>
      </c>
    </row>
    <row r="63" spans="1:11" x14ac:dyDescent="0.2">
      <c r="A63" s="27">
        <v>4041</v>
      </c>
      <c r="B63" s="27" t="s">
        <v>8</v>
      </c>
      <c r="C63" s="27" t="s">
        <v>9</v>
      </c>
      <c r="D63" s="27" t="s">
        <v>11</v>
      </c>
      <c r="E63" s="28">
        <v>46085</v>
      </c>
      <c r="F63" s="27">
        <v>8</v>
      </c>
      <c r="G63" s="27" t="s">
        <v>10</v>
      </c>
      <c r="I63" s="4" t="str">
        <f t="shared" si="0"/>
        <v>Mobile App</v>
      </c>
      <c r="J63" s="4" t="str">
        <f>IF(AND(IFERROR(FIND(Planned!$B$3,B63,1),0),$E63&lt;=Planned!$I$6, $E63&gt;=Planned!$H$6), "Yes","No")</f>
        <v>Yes</v>
      </c>
      <c r="K63" s="4">
        <f>F63*VLOOKUP($G63,Planned!$C$14:$E$16,3,FALSE)</f>
        <v>400</v>
      </c>
    </row>
    <row r="64" spans="1:11" x14ac:dyDescent="0.2">
      <c r="A64" s="27">
        <v>4041</v>
      </c>
      <c r="B64" s="27" t="s">
        <v>8</v>
      </c>
      <c r="C64" s="27" t="s">
        <v>9</v>
      </c>
      <c r="D64" s="27" t="s">
        <v>11</v>
      </c>
      <c r="E64" s="28">
        <v>46086</v>
      </c>
      <c r="F64" s="27">
        <v>8</v>
      </c>
      <c r="G64" s="27" t="s">
        <v>13</v>
      </c>
      <c r="I64" s="4" t="str">
        <f t="shared" si="0"/>
        <v>Mobile App</v>
      </c>
      <c r="J64" s="4" t="str">
        <f>IF(AND(IFERROR(FIND(Planned!$B$3,B64,1),0),$E64&lt;=Planned!$I$6, $E64&gt;=Planned!$H$6), "Yes","No")</f>
        <v>Yes</v>
      </c>
      <c r="K64" s="4">
        <f>F64*VLOOKUP($G64,Planned!$C$14:$E$16,3,FALSE)</f>
        <v>440</v>
      </c>
    </row>
    <row r="65" spans="1:11" x14ac:dyDescent="0.2">
      <c r="A65" s="27">
        <v>4041</v>
      </c>
      <c r="B65" s="27" t="s">
        <v>8</v>
      </c>
      <c r="C65" s="27" t="s">
        <v>9</v>
      </c>
      <c r="D65" s="27" t="s">
        <v>11</v>
      </c>
      <c r="E65" s="28">
        <v>46087</v>
      </c>
      <c r="F65" s="27">
        <v>8</v>
      </c>
      <c r="G65" s="27" t="s">
        <v>13</v>
      </c>
      <c r="I65" s="4" t="str">
        <f t="shared" si="0"/>
        <v>Mobile App</v>
      </c>
      <c r="J65" s="4" t="str">
        <f>IF(AND(IFERROR(FIND(Planned!$B$3,B65,1),0),$E65&lt;=Planned!$I$6, $E65&gt;=Planned!$H$6), "Yes","No")</f>
        <v>Yes</v>
      </c>
      <c r="K65" s="4">
        <f>F65*VLOOKUP($G65,Planned!$C$14:$E$16,3,FALSE)</f>
        <v>440</v>
      </c>
    </row>
    <row r="66" spans="1:11" x14ac:dyDescent="0.2">
      <c r="A66" s="27">
        <v>4041</v>
      </c>
      <c r="B66" s="27" t="s">
        <v>8</v>
      </c>
      <c r="C66" s="27" t="s">
        <v>9</v>
      </c>
      <c r="D66" s="27" t="s">
        <v>11</v>
      </c>
      <c r="E66" s="28">
        <v>46088</v>
      </c>
      <c r="F66" s="27">
        <v>8</v>
      </c>
      <c r="G66" s="27" t="s">
        <v>13</v>
      </c>
      <c r="I66" s="4" t="str">
        <f t="shared" si="0"/>
        <v>Mobile App</v>
      </c>
      <c r="J66" s="4" t="str">
        <f>IF(AND(IFERROR(FIND(Planned!$B$3,B66,1),0),$E66&lt;=Planned!$I$6, $E66&gt;=Planned!$H$6), "Yes","No")</f>
        <v>Yes</v>
      </c>
      <c r="K66" s="4">
        <f>F66*VLOOKUP($G66,Planned!$C$14:$E$16,3,FALSE)</f>
        <v>440</v>
      </c>
    </row>
    <row r="67" spans="1:11" x14ac:dyDescent="0.2">
      <c r="A67" s="27">
        <v>4041</v>
      </c>
      <c r="B67" s="27" t="s">
        <v>8</v>
      </c>
      <c r="C67" s="27" t="s">
        <v>9</v>
      </c>
      <c r="D67" s="27" t="s">
        <v>11</v>
      </c>
      <c r="E67" s="28">
        <v>46089</v>
      </c>
      <c r="F67" s="27">
        <v>8</v>
      </c>
      <c r="G67" s="27" t="s">
        <v>13</v>
      </c>
      <c r="I67" s="4" t="str">
        <f t="shared" ref="I67:I130" si="1">$D67&amp;$H67</f>
        <v>Mobile App</v>
      </c>
      <c r="J67" s="4" t="str">
        <f>IF(AND(IFERROR(FIND(Planned!$B$3,B67,1),0),$E67&lt;=Planned!$I$6, $E67&gt;=Planned!$H$6), "Yes","No")</f>
        <v>Yes</v>
      </c>
      <c r="K67" s="4">
        <f>F67*VLOOKUP($G67,Planned!$C$14:$E$16,3,FALSE)</f>
        <v>440</v>
      </c>
    </row>
    <row r="68" spans="1:11" x14ac:dyDescent="0.2">
      <c r="A68" s="27">
        <v>4041</v>
      </c>
      <c r="B68" s="27" t="s">
        <v>8</v>
      </c>
      <c r="C68" s="27" t="s">
        <v>9</v>
      </c>
      <c r="D68" s="27" t="s">
        <v>14</v>
      </c>
      <c r="E68" s="28">
        <v>46090</v>
      </c>
      <c r="F68" s="27">
        <v>8</v>
      </c>
      <c r="G68" s="27" t="s">
        <v>13</v>
      </c>
      <c r="I68" s="4" t="str">
        <f t="shared" si="1"/>
        <v>Reports</v>
      </c>
      <c r="J68" s="4" t="str">
        <f>IF(AND(IFERROR(FIND(Planned!$B$3,B68,1),0),$E68&lt;=Planned!$I$6, $E68&gt;=Planned!$H$6), "Yes","No")</f>
        <v>Yes</v>
      </c>
      <c r="K68" s="4">
        <f>F68*VLOOKUP($G68,Planned!$C$14:$E$16,3,FALSE)</f>
        <v>440</v>
      </c>
    </row>
    <row r="69" spans="1:11" x14ac:dyDescent="0.2">
      <c r="A69" s="27">
        <v>4041</v>
      </c>
      <c r="B69" s="27" t="s">
        <v>8</v>
      </c>
      <c r="C69" s="27" t="s">
        <v>9</v>
      </c>
      <c r="D69" s="27" t="s">
        <v>14</v>
      </c>
      <c r="E69" s="28">
        <v>46091</v>
      </c>
      <c r="F69" s="27">
        <v>8</v>
      </c>
      <c r="G69" s="27" t="s">
        <v>10</v>
      </c>
      <c r="I69" s="4" t="str">
        <f t="shared" si="1"/>
        <v>Reports</v>
      </c>
      <c r="J69" s="4" t="str">
        <f>IF(AND(IFERROR(FIND(Planned!$B$3,B69,1),0),$E69&lt;=Planned!$I$6, $E69&gt;=Planned!$H$6), "Yes","No")</f>
        <v>Yes</v>
      </c>
      <c r="K69" s="4">
        <f>F69*VLOOKUP($G69,Planned!$C$14:$E$16,3,FALSE)</f>
        <v>400</v>
      </c>
    </row>
    <row r="70" spans="1:11" x14ac:dyDescent="0.2">
      <c r="A70" s="27">
        <v>4041</v>
      </c>
      <c r="B70" s="27" t="s">
        <v>8</v>
      </c>
      <c r="C70" s="27" t="s">
        <v>9</v>
      </c>
      <c r="D70" s="27" t="s">
        <v>14</v>
      </c>
      <c r="E70" s="28">
        <v>46092</v>
      </c>
      <c r="F70" s="27">
        <v>8</v>
      </c>
      <c r="G70" s="27" t="s">
        <v>10</v>
      </c>
      <c r="I70" s="4" t="str">
        <f t="shared" si="1"/>
        <v>Reports</v>
      </c>
      <c r="J70" s="4" t="str">
        <f>IF(AND(IFERROR(FIND(Planned!$B$3,B70,1),0),$E70&lt;=Planned!$I$6, $E70&gt;=Planned!$H$6), "Yes","No")</f>
        <v>Yes</v>
      </c>
      <c r="K70" s="4">
        <f>F70*VLOOKUP($G70,Planned!$C$14:$E$16,3,FALSE)</f>
        <v>400</v>
      </c>
    </row>
    <row r="71" spans="1:11" x14ac:dyDescent="0.2">
      <c r="A71" s="27">
        <v>4041</v>
      </c>
      <c r="B71" s="27" t="s">
        <v>8</v>
      </c>
      <c r="C71" s="27" t="s">
        <v>9</v>
      </c>
      <c r="D71" s="27" t="s">
        <v>14</v>
      </c>
      <c r="E71" s="28">
        <v>46093</v>
      </c>
      <c r="F71" s="27">
        <v>8</v>
      </c>
      <c r="G71" s="27" t="s">
        <v>10</v>
      </c>
      <c r="I71" s="4" t="str">
        <f t="shared" si="1"/>
        <v>Reports</v>
      </c>
      <c r="J71" s="4" t="str">
        <f>IF(AND(IFERROR(FIND(Planned!$B$3,B71,1),0),$E71&lt;=Planned!$I$6, $E71&gt;=Planned!$H$6), "Yes","No")</f>
        <v>Yes</v>
      </c>
      <c r="K71" s="4">
        <f>F71*VLOOKUP($G71,Planned!$C$14:$E$16,3,FALSE)</f>
        <v>400</v>
      </c>
    </row>
    <row r="72" spans="1:11" x14ac:dyDescent="0.2">
      <c r="A72" s="27">
        <v>4041</v>
      </c>
      <c r="B72" s="27" t="s">
        <v>8</v>
      </c>
      <c r="C72" s="27" t="s">
        <v>9</v>
      </c>
      <c r="D72" s="27" t="s">
        <v>11</v>
      </c>
      <c r="E72" s="28">
        <v>46094</v>
      </c>
      <c r="F72" s="27">
        <v>6</v>
      </c>
      <c r="G72" s="27" t="s">
        <v>10</v>
      </c>
      <c r="I72" s="4" t="str">
        <f t="shared" si="1"/>
        <v>Mobile App</v>
      </c>
      <c r="J72" s="4" t="str">
        <f>IF(AND(IFERROR(FIND(Planned!$B$3,B72,1),0),$E72&lt;=Planned!$I$6, $E72&gt;=Planned!$H$6), "Yes","No")</f>
        <v>Yes</v>
      </c>
      <c r="K72" s="4">
        <f>F72*VLOOKUP($G72,Planned!$C$14:$E$16,3,FALSE)</f>
        <v>300</v>
      </c>
    </row>
    <row r="73" spans="1:11" x14ac:dyDescent="0.2">
      <c r="A73" s="27">
        <v>4041</v>
      </c>
      <c r="B73" s="27" t="s">
        <v>8</v>
      </c>
      <c r="C73" s="27" t="s">
        <v>17</v>
      </c>
      <c r="E73" s="28">
        <v>46024</v>
      </c>
      <c r="F73" s="27">
        <v>3</v>
      </c>
      <c r="G73" s="27" t="s">
        <v>10</v>
      </c>
      <c r="H73" s="27" t="s">
        <v>11</v>
      </c>
      <c r="I73" s="4" t="str">
        <f t="shared" si="1"/>
        <v>Mobile App</v>
      </c>
      <c r="J73" s="4" t="str">
        <f>IF(AND(IFERROR(FIND(Planned!$B$3,B73,1),0),$E73&lt;=Planned!$I$6, $E73&gt;=Planned!$H$6), "Yes","No")</f>
        <v>Yes</v>
      </c>
      <c r="K73" s="4">
        <f>F73*VLOOKUP($G73,Planned!$C$14:$E$16,3,FALSE)</f>
        <v>150</v>
      </c>
    </row>
    <row r="74" spans="1:11" x14ac:dyDescent="0.2">
      <c r="A74" s="27">
        <v>4041</v>
      </c>
      <c r="B74" s="27" t="s">
        <v>8</v>
      </c>
      <c r="C74" s="27" t="s">
        <v>17</v>
      </c>
      <c r="E74" s="28">
        <v>46025</v>
      </c>
      <c r="F74" s="27">
        <v>3</v>
      </c>
      <c r="G74" s="27" t="s">
        <v>10</v>
      </c>
      <c r="H74" s="27" t="s">
        <v>11</v>
      </c>
      <c r="I74" s="4" t="str">
        <f t="shared" si="1"/>
        <v>Mobile App</v>
      </c>
      <c r="J74" s="4" t="str">
        <f>IF(AND(IFERROR(FIND(Planned!$B$3,B74,1),0),$E74&lt;=Planned!$I$6, $E74&gt;=Planned!$H$6), "Yes","No")</f>
        <v>Yes</v>
      </c>
      <c r="K74" s="4">
        <f>F74*VLOOKUP($G74,Planned!$C$14:$E$16,3,FALSE)</f>
        <v>150</v>
      </c>
    </row>
    <row r="75" spans="1:11" x14ac:dyDescent="0.2">
      <c r="A75" s="27">
        <v>4041</v>
      </c>
      <c r="B75" s="27" t="s">
        <v>8</v>
      </c>
      <c r="C75" s="27" t="s">
        <v>17</v>
      </c>
      <c r="E75" s="28">
        <v>46026</v>
      </c>
      <c r="F75" s="27">
        <v>4</v>
      </c>
      <c r="G75" s="27" t="s">
        <v>10</v>
      </c>
      <c r="H75" s="27" t="s">
        <v>11</v>
      </c>
      <c r="I75" s="4" t="str">
        <f t="shared" si="1"/>
        <v>Mobile App</v>
      </c>
      <c r="J75" s="4" t="str">
        <f>IF(AND(IFERROR(FIND(Planned!$B$3,B75,1),0),$E75&lt;=Planned!$I$6, $E75&gt;=Planned!$H$6), "Yes","No")</f>
        <v>Yes</v>
      </c>
      <c r="K75" s="4">
        <f>F75*VLOOKUP($G75,Planned!$C$14:$E$16,3,FALSE)</f>
        <v>200</v>
      </c>
    </row>
    <row r="76" spans="1:11" x14ac:dyDescent="0.2">
      <c r="A76" s="27">
        <v>4041</v>
      </c>
      <c r="B76" s="27" t="s">
        <v>8</v>
      </c>
      <c r="C76" s="27" t="s">
        <v>17</v>
      </c>
      <c r="E76" s="28">
        <v>46027</v>
      </c>
      <c r="F76" s="27">
        <v>2</v>
      </c>
      <c r="G76" s="27" t="s">
        <v>10</v>
      </c>
      <c r="H76" s="27" t="s">
        <v>11</v>
      </c>
      <c r="I76" s="4" t="str">
        <f t="shared" si="1"/>
        <v>Mobile App</v>
      </c>
      <c r="J76" s="4" t="str">
        <f>IF(AND(IFERROR(FIND(Planned!$B$3,B76,1),0),$E76&lt;=Planned!$I$6, $E76&gt;=Planned!$H$6), "Yes","No")</f>
        <v>Yes</v>
      </c>
      <c r="K76" s="4">
        <f>F76*VLOOKUP($G76,Planned!$C$14:$E$16,3,FALSE)</f>
        <v>100</v>
      </c>
    </row>
    <row r="77" spans="1:11" x14ac:dyDescent="0.2">
      <c r="A77" s="27">
        <v>4041</v>
      </c>
      <c r="B77" s="27" t="s">
        <v>8</v>
      </c>
      <c r="C77" s="27" t="s">
        <v>17</v>
      </c>
      <c r="E77" s="28">
        <v>46028</v>
      </c>
      <c r="F77" s="27">
        <v>5</v>
      </c>
      <c r="G77" s="27" t="s">
        <v>10</v>
      </c>
      <c r="H77" s="27" t="s">
        <v>11</v>
      </c>
      <c r="I77" s="4" t="str">
        <f t="shared" si="1"/>
        <v>Mobile App</v>
      </c>
      <c r="J77" s="4" t="str">
        <f>IF(AND(IFERROR(FIND(Planned!$B$3,B77,1),0),$E77&lt;=Planned!$I$6, $E77&gt;=Planned!$H$6), "Yes","No")</f>
        <v>Yes</v>
      </c>
      <c r="K77" s="4">
        <f>F77*VLOOKUP($G77,Planned!$C$14:$E$16,3,FALSE)</f>
        <v>250</v>
      </c>
    </row>
    <row r="78" spans="1:11" x14ac:dyDescent="0.2">
      <c r="A78" s="27">
        <v>4041</v>
      </c>
      <c r="B78" s="27" t="s">
        <v>8</v>
      </c>
      <c r="C78" s="27" t="s">
        <v>17</v>
      </c>
      <c r="E78" s="28">
        <v>46029</v>
      </c>
      <c r="F78" s="27">
        <v>3</v>
      </c>
      <c r="G78" s="27" t="s">
        <v>10</v>
      </c>
      <c r="H78" s="27" t="s">
        <v>11</v>
      </c>
      <c r="I78" s="4" t="str">
        <f t="shared" si="1"/>
        <v>Mobile App</v>
      </c>
      <c r="J78" s="4" t="str">
        <f>IF(AND(IFERROR(FIND(Planned!$B$3,B78,1),0),$E78&lt;=Planned!$I$6, $E78&gt;=Planned!$H$6), "Yes","No")</f>
        <v>Yes</v>
      </c>
      <c r="K78" s="4">
        <f>F78*VLOOKUP($G78,Planned!$C$14:$E$16,3,FALSE)</f>
        <v>150</v>
      </c>
    </row>
    <row r="79" spans="1:11" x14ac:dyDescent="0.2">
      <c r="A79" s="27">
        <v>4041</v>
      </c>
      <c r="B79" s="27" t="s">
        <v>8</v>
      </c>
      <c r="C79" s="27" t="s">
        <v>17</v>
      </c>
      <c r="E79" s="28">
        <v>46030</v>
      </c>
      <c r="F79" s="27">
        <v>4</v>
      </c>
      <c r="G79" s="27" t="s">
        <v>13</v>
      </c>
      <c r="H79" s="27" t="s">
        <v>11</v>
      </c>
      <c r="I79" s="4" t="str">
        <f t="shared" si="1"/>
        <v>Mobile App</v>
      </c>
      <c r="J79" s="4" t="str">
        <f>IF(AND(IFERROR(FIND(Planned!$B$3,B79,1),0),$E79&lt;=Planned!$I$6, $E79&gt;=Planned!$H$6), "Yes","No")</f>
        <v>Yes</v>
      </c>
      <c r="K79" s="4">
        <f>F79*VLOOKUP($G79,Planned!$C$14:$E$16,3,FALSE)</f>
        <v>220</v>
      </c>
    </row>
    <row r="80" spans="1:11" x14ac:dyDescent="0.2">
      <c r="A80" s="27">
        <v>4041</v>
      </c>
      <c r="B80" s="27" t="s">
        <v>8</v>
      </c>
      <c r="C80" s="27" t="s">
        <v>17</v>
      </c>
      <c r="E80" s="28">
        <v>46031</v>
      </c>
      <c r="F80" s="27">
        <v>3</v>
      </c>
      <c r="G80" s="27" t="s">
        <v>13</v>
      </c>
      <c r="H80" s="27" t="s">
        <v>11</v>
      </c>
      <c r="I80" s="4" t="str">
        <f t="shared" si="1"/>
        <v>Mobile App</v>
      </c>
      <c r="J80" s="4" t="str">
        <f>IF(AND(IFERROR(FIND(Planned!$B$3,B80,1),0),$E80&lt;=Planned!$I$6, $E80&gt;=Planned!$H$6), "Yes","No")</f>
        <v>Yes</v>
      </c>
      <c r="K80" s="4">
        <f>F80*VLOOKUP($G80,Planned!$C$14:$E$16,3,FALSE)</f>
        <v>165</v>
      </c>
    </row>
    <row r="81" spans="1:11" hidden="1" x14ac:dyDescent="0.2">
      <c r="A81" s="27">
        <v>4042</v>
      </c>
      <c r="B81" s="27" t="s">
        <v>15</v>
      </c>
      <c r="C81" s="27" t="s">
        <v>17</v>
      </c>
      <c r="E81" s="28">
        <v>46032</v>
      </c>
      <c r="F81" s="27">
        <v>6</v>
      </c>
      <c r="G81" s="27" t="s">
        <v>13</v>
      </c>
      <c r="H81" s="27" t="s">
        <v>11</v>
      </c>
      <c r="I81" s="4" t="str">
        <f t="shared" si="1"/>
        <v>Mobile App</v>
      </c>
      <c r="J81" s="4" t="str">
        <f>IF(AND(IFERROR(FIND(Planned!$B$3,B81,1),0),$E81&lt;=Planned!$I$6, $E81&gt;=Planned!$H$6), "Yes","No")</f>
        <v>No</v>
      </c>
      <c r="K81" s="4">
        <f>F81*VLOOKUP($G81,Planned!$C$14:$E$16,3,FALSE)</f>
        <v>330</v>
      </c>
    </row>
    <row r="82" spans="1:11" hidden="1" x14ac:dyDescent="0.2">
      <c r="A82" s="27">
        <v>4042</v>
      </c>
      <c r="B82" s="27" t="s">
        <v>15</v>
      </c>
      <c r="C82" s="27" t="s">
        <v>17</v>
      </c>
      <c r="E82" s="28">
        <v>46033</v>
      </c>
      <c r="F82" s="27">
        <v>1</v>
      </c>
      <c r="G82" s="27" t="s">
        <v>13</v>
      </c>
      <c r="H82" s="27" t="s">
        <v>16</v>
      </c>
      <c r="I82" s="4" t="str">
        <f t="shared" si="1"/>
        <v>Maintenance</v>
      </c>
      <c r="J82" s="4" t="str">
        <f>IF(AND(IFERROR(FIND(Planned!$B$3,B82,1),0),$E82&lt;=Planned!$I$6, $E82&gt;=Planned!$H$6), "Yes","No")</f>
        <v>No</v>
      </c>
      <c r="K82" s="4">
        <f>F82*VLOOKUP($G82,Planned!$C$14:$E$16,3,FALSE)</f>
        <v>55</v>
      </c>
    </row>
    <row r="83" spans="1:11" hidden="1" x14ac:dyDescent="0.2">
      <c r="A83" s="27">
        <v>4042</v>
      </c>
      <c r="B83" s="27" t="s">
        <v>15</v>
      </c>
      <c r="C83" s="27" t="s">
        <v>17</v>
      </c>
      <c r="E83" s="28">
        <v>46034</v>
      </c>
      <c r="F83" s="27">
        <v>2</v>
      </c>
      <c r="G83" s="27" t="s">
        <v>13</v>
      </c>
      <c r="H83" s="27" t="s">
        <v>16</v>
      </c>
      <c r="I83" s="4" t="str">
        <f t="shared" si="1"/>
        <v>Maintenance</v>
      </c>
      <c r="J83" s="4" t="str">
        <f>IF(AND(IFERROR(FIND(Planned!$B$3,B83,1),0),$E83&lt;=Planned!$I$6, $E83&gt;=Planned!$H$6), "Yes","No")</f>
        <v>No</v>
      </c>
      <c r="K83" s="4">
        <f>F83*VLOOKUP($G83,Planned!$C$14:$E$16,3,FALSE)</f>
        <v>110</v>
      </c>
    </row>
    <row r="84" spans="1:11" x14ac:dyDescent="0.2">
      <c r="A84" s="27">
        <v>4041</v>
      </c>
      <c r="B84" s="27" t="s">
        <v>8</v>
      </c>
      <c r="C84" s="27" t="s">
        <v>17</v>
      </c>
      <c r="E84" s="28">
        <v>46035</v>
      </c>
      <c r="F84" s="27">
        <v>4</v>
      </c>
      <c r="G84" s="27" t="s">
        <v>10</v>
      </c>
      <c r="H84" s="27" t="s">
        <v>11</v>
      </c>
      <c r="I84" s="4" t="str">
        <f t="shared" si="1"/>
        <v>Mobile App</v>
      </c>
      <c r="J84" s="4" t="str">
        <f>IF(AND(IFERROR(FIND(Planned!$B$3,B84,1),0),$E84&lt;=Planned!$I$6, $E84&gt;=Planned!$H$6), "Yes","No")</f>
        <v>Yes</v>
      </c>
      <c r="K84" s="4">
        <f>F84*VLOOKUP($G84,Planned!$C$14:$E$16,3,FALSE)</f>
        <v>200</v>
      </c>
    </row>
    <row r="85" spans="1:11" x14ac:dyDescent="0.2">
      <c r="A85" s="27">
        <v>4041</v>
      </c>
      <c r="B85" s="27" t="s">
        <v>8</v>
      </c>
      <c r="C85" s="27" t="s">
        <v>17</v>
      </c>
      <c r="E85" s="28">
        <v>46036</v>
      </c>
      <c r="F85" s="27">
        <v>3</v>
      </c>
      <c r="G85" s="27" t="s">
        <v>10</v>
      </c>
      <c r="H85" s="27" t="s">
        <v>11</v>
      </c>
      <c r="I85" s="4" t="str">
        <f t="shared" si="1"/>
        <v>Mobile App</v>
      </c>
      <c r="J85" s="4" t="str">
        <f>IF(AND(IFERROR(FIND(Planned!$B$3,B85,1),0),$E85&lt;=Planned!$I$6, $E85&gt;=Planned!$H$6), "Yes","No")</f>
        <v>Yes</v>
      </c>
      <c r="K85" s="4">
        <f>F85*VLOOKUP($G85,Planned!$C$14:$E$16,3,FALSE)</f>
        <v>150</v>
      </c>
    </row>
    <row r="86" spans="1:11" hidden="1" x14ac:dyDescent="0.2">
      <c r="A86" s="27">
        <v>4041</v>
      </c>
      <c r="B86" s="27" t="s">
        <v>8</v>
      </c>
      <c r="C86" s="27" t="s">
        <v>17</v>
      </c>
      <c r="D86" s="27" t="s">
        <v>11</v>
      </c>
      <c r="E86" s="28">
        <v>46113</v>
      </c>
      <c r="F86" s="27">
        <v>6</v>
      </c>
      <c r="G86" s="27" t="s">
        <v>10</v>
      </c>
      <c r="I86" s="4" t="str">
        <f t="shared" si="1"/>
        <v>Mobile App</v>
      </c>
      <c r="J86" s="4" t="str">
        <f>IF(AND(IFERROR(FIND(Planned!$B$3,B86,1),0),$E86&lt;=Planned!$I$6, $E86&gt;=Planned!$H$6), "Yes","No")</f>
        <v>No</v>
      </c>
      <c r="K86" s="4">
        <f>F86*VLOOKUP($G86,Planned!$C$14:$E$16,3,FALSE)</f>
        <v>300</v>
      </c>
    </row>
    <row r="87" spans="1:11" hidden="1" x14ac:dyDescent="0.2">
      <c r="A87" s="27">
        <v>4041</v>
      </c>
      <c r="B87" s="27" t="s">
        <v>8</v>
      </c>
      <c r="C87" s="27" t="s">
        <v>17</v>
      </c>
      <c r="D87" s="27" t="s">
        <v>11</v>
      </c>
      <c r="E87" s="28">
        <v>46114</v>
      </c>
      <c r="F87" s="27">
        <v>4</v>
      </c>
      <c r="G87" s="27" t="s">
        <v>10</v>
      </c>
      <c r="I87" s="4" t="str">
        <f t="shared" si="1"/>
        <v>Mobile App</v>
      </c>
      <c r="J87" s="4" t="str">
        <f>IF(AND(IFERROR(FIND(Planned!$B$3,B87,1),0),$E87&lt;=Planned!$I$6, $E87&gt;=Planned!$H$6), "Yes","No")</f>
        <v>No</v>
      </c>
      <c r="K87" s="4">
        <f>F87*VLOOKUP($G87,Planned!$C$14:$E$16,3,FALSE)</f>
        <v>200</v>
      </c>
    </row>
    <row r="88" spans="1:11" hidden="1" x14ac:dyDescent="0.2">
      <c r="A88" s="27">
        <v>4041</v>
      </c>
      <c r="B88" s="27" t="s">
        <v>8</v>
      </c>
      <c r="C88" s="27" t="s">
        <v>17</v>
      </c>
      <c r="D88" s="27" t="s">
        <v>11</v>
      </c>
      <c r="E88" s="28">
        <v>46115</v>
      </c>
      <c r="F88" s="27">
        <v>4</v>
      </c>
      <c r="G88" s="27" t="s">
        <v>10</v>
      </c>
      <c r="I88" s="4" t="str">
        <f t="shared" si="1"/>
        <v>Mobile App</v>
      </c>
      <c r="J88" s="4" t="str">
        <f>IF(AND(IFERROR(FIND(Planned!$B$3,B88,1),0),$E88&lt;=Planned!$I$6, $E88&gt;=Planned!$H$6), "Yes","No")</f>
        <v>No</v>
      </c>
      <c r="K88" s="4">
        <f>F88*VLOOKUP($G88,Planned!$C$14:$E$16,3,FALSE)</f>
        <v>200</v>
      </c>
    </row>
    <row r="89" spans="1:11" hidden="1" x14ac:dyDescent="0.2">
      <c r="A89" s="27">
        <v>4041</v>
      </c>
      <c r="B89" s="27" t="s">
        <v>8</v>
      </c>
      <c r="C89" s="27" t="s">
        <v>17</v>
      </c>
      <c r="D89" s="27" t="s">
        <v>11</v>
      </c>
      <c r="E89" s="28">
        <v>46116</v>
      </c>
      <c r="F89" s="27">
        <v>4</v>
      </c>
      <c r="G89" s="27" t="s">
        <v>10</v>
      </c>
      <c r="I89" s="4" t="str">
        <f t="shared" si="1"/>
        <v>Mobile App</v>
      </c>
      <c r="J89" s="4" t="str">
        <f>IF(AND(IFERROR(FIND(Planned!$B$3,B89,1),0),$E89&lt;=Planned!$I$6, $E89&gt;=Planned!$H$6), "Yes","No")</f>
        <v>No</v>
      </c>
      <c r="K89" s="4">
        <f>F89*VLOOKUP($G89,Planned!$C$14:$E$16,3,FALSE)</f>
        <v>200</v>
      </c>
    </row>
    <row r="90" spans="1:11" hidden="1" x14ac:dyDescent="0.2">
      <c r="A90" s="27">
        <v>4041</v>
      </c>
      <c r="B90" s="27" t="s">
        <v>8</v>
      </c>
      <c r="C90" s="27" t="s">
        <v>17</v>
      </c>
      <c r="D90" s="27" t="s">
        <v>11</v>
      </c>
      <c r="E90" s="28">
        <v>46117</v>
      </c>
      <c r="F90" s="27">
        <v>4</v>
      </c>
      <c r="G90" s="27" t="s">
        <v>10</v>
      </c>
      <c r="I90" s="4" t="str">
        <f t="shared" si="1"/>
        <v>Mobile App</v>
      </c>
      <c r="J90" s="4" t="str">
        <f>IF(AND(IFERROR(FIND(Planned!$B$3,B90,1),0),$E90&lt;=Planned!$I$6, $E90&gt;=Planned!$H$6), "Yes","No")</f>
        <v>No</v>
      </c>
      <c r="K90" s="4">
        <f>F90*VLOOKUP($G90,Planned!$C$14:$E$16,3,FALSE)</f>
        <v>200</v>
      </c>
    </row>
    <row r="91" spans="1:11" hidden="1" x14ac:dyDescent="0.2">
      <c r="A91" s="27">
        <v>4041</v>
      </c>
      <c r="B91" s="27" t="s">
        <v>8</v>
      </c>
      <c r="C91" s="27" t="s">
        <v>17</v>
      </c>
      <c r="D91" s="27" t="s">
        <v>11</v>
      </c>
      <c r="E91" s="28">
        <v>46118</v>
      </c>
      <c r="F91" s="27">
        <v>4</v>
      </c>
      <c r="G91" s="27" t="s">
        <v>10</v>
      </c>
      <c r="I91" s="4" t="str">
        <f t="shared" si="1"/>
        <v>Mobile App</v>
      </c>
      <c r="J91" s="4" t="str">
        <f>IF(AND(IFERROR(FIND(Planned!$B$3,B91,1),0),$E91&lt;=Planned!$I$6, $E91&gt;=Planned!$H$6), "Yes","No")</f>
        <v>No</v>
      </c>
      <c r="K91" s="4">
        <f>F91*VLOOKUP($G91,Planned!$C$14:$E$16,3,FALSE)</f>
        <v>200</v>
      </c>
    </row>
    <row r="92" spans="1:11" hidden="1" x14ac:dyDescent="0.2">
      <c r="A92" s="27">
        <v>4041</v>
      </c>
      <c r="B92" s="27" t="s">
        <v>8</v>
      </c>
      <c r="C92" s="27" t="s">
        <v>17</v>
      </c>
      <c r="D92" s="27" t="s">
        <v>11</v>
      </c>
      <c r="E92" s="28">
        <v>46119</v>
      </c>
      <c r="F92" s="27">
        <v>4</v>
      </c>
      <c r="G92" s="27" t="s">
        <v>10</v>
      </c>
      <c r="I92" s="4" t="str">
        <f t="shared" si="1"/>
        <v>Mobile App</v>
      </c>
      <c r="J92" s="4" t="str">
        <f>IF(AND(IFERROR(FIND(Planned!$B$3,B92,1),0),$E92&lt;=Planned!$I$6, $E92&gt;=Planned!$H$6), "Yes","No")</f>
        <v>No</v>
      </c>
      <c r="K92" s="4">
        <f>F92*VLOOKUP($G92,Planned!$C$14:$E$16,3,FALSE)</f>
        <v>200</v>
      </c>
    </row>
    <row r="93" spans="1:11" hidden="1" x14ac:dyDescent="0.2">
      <c r="A93" s="27">
        <v>4041</v>
      </c>
      <c r="B93" s="27" t="s">
        <v>8</v>
      </c>
      <c r="C93" s="27" t="s">
        <v>17</v>
      </c>
      <c r="D93" s="27" t="s">
        <v>11</v>
      </c>
      <c r="E93" s="28">
        <v>46120</v>
      </c>
      <c r="F93" s="27">
        <v>4</v>
      </c>
      <c r="G93" s="27" t="s">
        <v>10</v>
      </c>
      <c r="I93" s="4" t="str">
        <f t="shared" si="1"/>
        <v>Mobile App</v>
      </c>
      <c r="J93" s="4" t="str">
        <f>IF(AND(IFERROR(FIND(Planned!$B$3,B93,1),0),$E93&lt;=Planned!$I$6, $E93&gt;=Planned!$H$6), "Yes","No")</f>
        <v>No</v>
      </c>
      <c r="K93" s="4">
        <f>F93*VLOOKUP($G93,Planned!$C$14:$E$16,3,FALSE)</f>
        <v>200</v>
      </c>
    </row>
    <row r="94" spans="1:11" x14ac:dyDescent="0.2">
      <c r="A94" s="27">
        <v>4041</v>
      </c>
      <c r="B94" s="27" t="s">
        <v>8</v>
      </c>
      <c r="C94" s="27" t="s">
        <v>17</v>
      </c>
      <c r="E94" s="28">
        <v>46045</v>
      </c>
      <c r="F94" s="27">
        <v>4</v>
      </c>
      <c r="G94" s="27" t="s">
        <v>10</v>
      </c>
      <c r="H94" s="27" t="s">
        <v>11</v>
      </c>
      <c r="I94" s="4" t="str">
        <f t="shared" si="1"/>
        <v>Mobile App</v>
      </c>
      <c r="J94" s="4" t="str">
        <f>IF(AND(IFERROR(FIND(Planned!$B$3,B94,1),0),$E94&lt;=Planned!$I$6, $E94&gt;=Planned!$H$6), "Yes","No")</f>
        <v>Yes</v>
      </c>
      <c r="K94" s="4">
        <f>F94*VLOOKUP($G94,Planned!$C$14:$E$16,3,FALSE)</f>
        <v>200</v>
      </c>
    </row>
    <row r="95" spans="1:11" x14ac:dyDescent="0.2">
      <c r="A95" s="27">
        <v>4041</v>
      </c>
      <c r="B95" s="27" t="s">
        <v>8</v>
      </c>
      <c r="C95" s="27" t="s">
        <v>17</v>
      </c>
      <c r="E95" s="28">
        <v>46046</v>
      </c>
      <c r="F95" s="27">
        <v>4</v>
      </c>
      <c r="G95" s="27" t="s">
        <v>10</v>
      </c>
      <c r="H95" s="27" t="s">
        <v>11</v>
      </c>
      <c r="I95" s="4" t="str">
        <f t="shared" si="1"/>
        <v>Mobile App</v>
      </c>
      <c r="J95" s="4" t="str">
        <f>IF(AND(IFERROR(FIND(Planned!$B$3,B95,1),0),$E95&lt;=Planned!$I$6, $E95&gt;=Planned!$H$6), "Yes","No")</f>
        <v>Yes</v>
      </c>
      <c r="K95" s="4">
        <f>F95*VLOOKUP($G95,Planned!$C$14:$E$16,3,FALSE)</f>
        <v>200</v>
      </c>
    </row>
    <row r="96" spans="1:11" x14ac:dyDescent="0.2">
      <c r="A96" s="27">
        <v>4041</v>
      </c>
      <c r="B96" s="27" t="s">
        <v>8</v>
      </c>
      <c r="C96" s="27" t="s">
        <v>17</v>
      </c>
      <c r="E96" s="28">
        <v>46047</v>
      </c>
      <c r="F96" s="27">
        <v>4</v>
      </c>
      <c r="G96" s="27" t="s">
        <v>10</v>
      </c>
      <c r="H96" s="27" t="s">
        <v>11</v>
      </c>
      <c r="I96" s="4" t="str">
        <f t="shared" si="1"/>
        <v>Mobile App</v>
      </c>
      <c r="J96" s="4" t="str">
        <f>IF(AND(IFERROR(FIND(Planned!$B$3,B96,1),0),$E96&lt;=Planned!$I$6, $E96&gt;=Planned!$H$6), "Yes","No")</f>
        <v>Yes</v>
      </c>
      <c r="K96" s="4">
        <f>F96*VLOOKUP($G96,Planned!$C$14:$E$16,3,FALSE)</f>
        <v>200</v>
      </c>
    </row>
    <row r="97" spans="1:11" hidden="1" x14ac:dyDescent="0.2">
      <c r="A97" s="27">
        <v>4042</v>
      </c>
      <c r="B97" s="27" t="s">
        <v>15</v>
      </c>
      <c r="C97" s="27" t="s">
        <v>17</v>
      </c>
      <c r="E97" s="28">
        <v>46048</v>
      </c>
      <c r="F97" s="27">
        <v>1</v>
      </c>
      <c r="G97" s="27" t="s">
        <v>10</v>
      </c>
      <c r="H97" s="27" t="s">
        <v>16</v>
      </c>
      <c r="I97" s="4" t="str">
        <f t="shared" si="1"/>
        <v>Maintenance</v>
      </c>
      <c r="J97" s="4" t="str">
        <f>IF(AND(IFERROR(FIND(Planned!$B$3,B97,1),0),$E97&lt;=Planned!$I$6, $E97&gt;=Planned!$H$6), "Yes","No")</f>
        <v>No</v>
      </c>
      <c r="K97" s="4">
        <f>F97*VLOOKUP($G97,Planned!$C$14:$E$16,3,FALSE)</f>
        <v>50</v>
      </c>
    </row>
    <row r="98" spans="1:11" hidden="1" x14ac:dyDescent="0.2">
      <c r="A98" s="27">
        <v>4042</v>
      </c>
      <c r="B98" s="27" t="s">
        <v>15</v>
      </c>
      <c r="C98" s="27" t="s">
        <v>17</v>
      </c>
      <c r="E98" s="28">
        <v>46049</v>
      </c>
      <c r="F98" s="27">
        <v>2</v>
      </c>
      <c r="G98" s="27" t="s">
        <v>10</v>
      </c>
      <c r="H98" s="27" t="s">
        <v>16</v>
      </c>
      <c r="I98" s="4" t="str">
        <f t="shared" si="1"/>
        <v>Maintenance</v>
      </c>
      <c r="J98" s="4" t="str">
        <f>IF(AND(IFERROR(FIND(Planned!$B$3,B98,1),0),$E98&lt;=Planned!$I$6, $E98&gt;=Planned!$H$6), "Yes","No")</f>
        <v>No</v>
      </c>
      <c r="K98" s="4">
        <f>F98*VLOOKUP($G98,Planned!$C$14:$E$16,3,FALSE)</f>
        <v>100</v>
      </c>
    </row>
    <row r="99" spans="1:11" x14ac:dyDescent="0.2">
      <c r="A99" s="27">
        <v>4041</v>
      </c>
      <c r="B99" s="27" t="s">
        <v>8</v>
      </c>
      <c r="C99" s="27" t="s">
        <v>17</v>
      </c>
      <c r="E99" s="28">
        <v>46050</v>
      </c>
      <c r="F99" s="27">
        <v>5</v>
      </c>
      <c r="G99" s="27" t="s">
        <v>10</v>
      </c>
      <c r="H99" s="27" t="s">
        <v>11</v>
      </c>
      <c r="I99" s="4" t="str">
        <f t="shared" si="1"/>
        <v>Mobile App</v>
      </c>
      <c r="J99" s="4" t="str">
        <f>IF(AND(IFERROR(FIND(Planned!$B$3,B99,1),0),$E99&lt;=Planned!$I$6, $E99&gt;=Planned!$H$6), "Yes","No")</f>
        <v>Yes</v>
      </c>
      <c r="K99" s="4">
        <f>F99*VLOOKUP($G99,Planned!$C$14:$E$16,3,FALSE)</f>
        <v>250</v>
      </c>
    </row>
    <row r="100" spans="1:11" x14ac:dyDescent="0.2">
      <c r="A100" s="27">
        <v>4041</v>
      </c>
      <c r="B100" s="27" t="s">
        <v>8</v>
      </c>
      <c r="C100" s="27" t="s">
        <v>17</v>
      </c>
      <c r="E100" s="28">
        <v>46051</v>
      </c>
      <c r="F100" s="27">
        <v>2</v>
      </c>
      <c r="G100" s="27" t="s">
        <v>13</v>
      </c>
      <c r="H100" s="27" t="s">
        <v>11</v>
      </c>
      <c r="I100" s="4" t="str">
        <f t="shared" si="1"/>
        <v>Mobile App</v>
      </c>
      <c r="J100" s="4" t="str">
        <f>IF(AND(IFERROR(FIND(Planned!$B$3,B100,1),0),$E100&lt;=Planned!$I$6, $E100&gt;=Planned!$H$6), "Yes","No")</f>
        <v>Yes</v>
      </c>
      <c r="K100" s="4">
        <f>F100*VLOOKUP($G100,Planned!$C$14:$E$16,3,FALSE)</f>
        <v>110</v>
      </c>
    </row>
    <row r="101" spans="1:11" x14ac:dyDescent="0.2">
      <c r="A101" s="27">
        <v>4041</v>
      </c>
      <c r="B101" s="27" t="s">
        <v>8</v>
      </c>
      <c r="C101" s="27" t="s">
        <v>17</v>
      </c>
      <c r="E101" s="28">
        <v>46052</v>
      </c>
      <c r="F101" s="27">
        <v>4</v>
      </c>
      <c r="G101" s="27" t="s">
        <v>13</v>
      </c>
      <c r="H101" s="27" t="s">
        <v>11</v>
      </c>
      <c r="I101" s="4" t="str">
        <f t="shared" si="1"/>
        <v>Mobile App</v>
      </c>
      <c r="J101" s="4" t="str">
        <f>IF(AND(IFERROR(FIND(Planned!$B$3,B101,1),0),$E101&lt;=Planned!$I$6, $E101&gt;=Planned!$H$6), "Yes","No")</f>
        <v>Yes</v>
      </c>
      <c r="K101" s="4">
        <f>F101*VLOOKUP($G101,Planned!$C$14:$E$16,3,FALSE)</f>
        <v>220</v>
      </c>
    </row>
    <row r="102" spans="1:11" x14ac:dyDescent="0.2">
      <c r="A102" s="27">
        <v>4041</v>
      </c>
      <c r="B102" s="27" t="s">
        <v>8</v>
      </c>
      <c r="C102" s="27" t="s">
        <v>17</v>
      </c>
      <c r="E102" s="28">
        <v>46053</v>
      </c>
      <c r="F102" s="27">
        <v>2</v>
      </c>
      <c r="G102" s="27" t="s">
        <v>13</v>
      </c>
      <c r="H102" s="27" t="s">
        <v>11</v>
      </c>
      <c r="I102" s="4" t="str">
        <f t="shared" si="1"/>
        <v>Mobile App</v>
      </c>
      <c r="J102" s="4" t="str">
        <f>IF(AND(IFERROR(FIND(Planned!$B$3,B102,1),0),$E102&lt;=Planned!$I$6, $E102&gt;=Planned!$H$6), "Yes","No")</f>
        <v>Yes</v>
      </c>
      <c r="K102" s="4">
        <f>F102*VLOOKUP($G102,Planned!$C$14:$E$16,3,FALSE)</f>
        <v>110</v>
      </c>
    </row>
    <row r="103" spans="1:11" x14ac:dyDescent="0.2">
      <c r="A103" s="27">
        <v>4041</v>
      </c>
      <c r="B103" s="27" t="s">
        <v>8</v>
      </c>
      <c r="C103" s="27" t="s">
        <v>17</v>
      </c>
      <c r="E103" s="28">
        <v>46054</v>
      </c>
      <c r="F103" s="27">
        <v>1</v>
      </c>
      <c r="G103" s="27" t="s">
        <v>13</v>
      </c>
      <c r="H103" s="27" t="s">
        <v>11</v>
      </c>
      <c r="I103" s="4" t="str">
        <f t="shared" si="1"/>
        <v>Mobile App</v>
      </c>
      <c r="J103" s="4" t="str">
        <f>IF(AND(IFERROR(FIND(Planned!$B$3,B103,1),0),$E103&lt;=Planned!$I$6, $E103&gt;=Planned!$H$6), "Yes","No")</f>
        <v>Yes</v>
      </c>
      <c r="K103" s="4">
        <f>F103*VLOOKUP($G103,Planned!$C$14:$E$16,3,FALSE)</f>
        <v>55</v>
      </c>
    </row>
    <row r="104" spans="1:11" x14ac:dyDescent="0.2">
      <c r="A104" s="27">
        <v>4041</v>
      </c>
      <c r="B104" s="27" t="s">
        <v>8</v>
      </c>
      <c r="C104" s="27" t="s">
        <v>17</v>
      </c>
      <c r="E104" s="28">
        <v>46055</v>
      </c>
      <c r="F104" s="27">
        <v>6</v>
      </c>
      <c r="G104" s="27" t="s">
        <v>13</v>
      </c>
      <c r="H104" s="27" t="s">
        <v>11</v>
      </c>
      <c r="I104" s="4" t="str">
        <f t="shared" si="1"/>
        <v>Mobile App</v>
      </c>
      <c r="J104" s="4" t="str">
        <f>IF(AND(IFERROR(FIND(Planned!$B$3,B104,1),0),$E104&lt;=Planned!$I$6, $E104&gt;=Planned!$H$6), "Yes","No")</f>
        <v>Yes</v>
      </c>
      <c r="K104" s="4">
        <f>F104*VLOOKUP($G104,Planned!$C$14:$E$16,3,FALSE)</f>
        <v>330</v>
      </c>
    </row>
    <row r="105" spans="1:11" x14ac:dyDescent="0.2">
      <c r="A105" s="27">
        <v>4041</v>
      </c>
      <c r="B105" s="27" t="s">
        <v>8</v>
      </c>
      <c r="C105" s="27" t="s">
        <v>17</v>
      </c>
      <c r="E105" s="28">
        <v>46056</v>
      </c>
      <c r="F105" s="27">
        <v>4</v>
      </c>
      <c r="G105" s="27" t="s">
        <v>10</v>
      </c>
      <c r="H105" s="27" t="s">
        <v>11</v>
      </c>
      <c r="I105" s="4" t="str">
        <f t="shared" si="1"/>
        <v>Mobile App</v>
      </c>
      <c r="J105" s="4" t="str">
        <f>IF(AND(IFERROR(FIND(Planned!$B$3,B105,1),0),$E105&lt;=Planned!$I$6, $E105&gt;=Planned!$H$6), "Yes","No")</f>
        <v>Yes</v>
      </c>
      <c r="K105" s="4">
        <f>F105*VLOOKUP($G105,Planned!$C$14:$E$16,3,FALSE)</f>
        <v>200</v>
      </c>
    </row>
    <row r="106" spans="1:11" x14ac:dyDescent="0.2">
      <c r="A106" s="27">
        <v>4041</v>
      </c>
      <c r="B106" s="27" t="s">
        <v>8</v>
      </c>
      <c r="C106" s="27" t="s">
        <v>17</v>
      </c>
      <c r="E106" s="28">
        <v>46057</v>
      </c>
      <c r="F106" s="27">
        <v>1</v>
      </c>
      <c r="G106" s="27" t="s">
        <v>10</v>
      </c>
      <c r="H106" s="27" t="s">
        <v>11</v>
      </c>
      <c r="I106" s="4" t="str">
        <f t="shared" si="1"/>
        <v>Mobile App</v>
      </c>
      <c r="J106" s="4" t="str">
        <f>IF(AND(IFERROR(FIND(Planned!$B$3,B106,1),0),$E106&lt;=Planned!$I$6, $E106&gt;=Planned!$H$6), "Yes","No")</f>
        <v>Yes</v>
      </c>
      <c r="K106" s="4">
        <f>F106*VLOOKUP($G106,Planned!$C$14:$E$16,3,FALSE)</f>
        <v>50</v>
      </c>
    </row>
    <row r="107" spans="1:11" x14ac:dyDescent="0.2">
      <c r="A107" s="27">
        <v>4041</v>
      </c>
      <c r="B107" s="27" t="s">
        <v>8</v>
      </c>
      <c r="C107" s="27" t="s">
        <v>17</v>
      </c>
      <c r="E107" s="28">
        <v>46058</v>
      </c>
      <c r="F107" s="27">
        <v>3</v>
      </c>
      <c r="G107" s="27" t="s">
        <v>10</v>
      </c>
      <c r="H107" s="27" t="s">
        <v>11</v>
      </c>
      <c r="I107" s="4" t="str">
        <f t="shared" si="1"/>
        <v>Mobile App</v>
      </c>
      <c r="J107" s="4" t="str">
        <f>IF(AND(IFERROR(FIND(Planned!$B$3,B107,1),0),$E107&lt;=Planned!$I$6, $E107&gt;=Planned!$H$6), "Yes","No")</f>
        <v>Yes</v>
      </c>
      <c r="K107" s="4">
        <f>F107*VLOOKUP($G107,Planned!$C$14:$E$16,3,FALSE)</f>
        <v>150</v>
      </c>
    </row>
    <row r="108" spans="1:11" x14ac:dyDescent="0.2">
      <c r="A108" s="27">
        <v>4041</v>
      </c>
      <c r="B108" s="27" t="s">
        <v>8</v>
      </c>
      <c r="C108" s="27" t="s">
        <v>17</v>
      </c>
      <c r="E108" s="28">
        <v>46059</v>
      </c>
      <c r="F108" s="27">
        <v>3</v>
      </c>
      <c r="G108" s="27" t="s">
        <v>10</v>
      </c>
      <c r="H108" s="27" t="s">
        <v>11</v>
      </c>
      <c r="I108" s="4" t="str">
        <f t="shared" si="1"/>
        <v>Mobile App</v>
      </c>
      <c r="J108" s="4" t="str">
        <f>IF(AND(IFERROR(FIND(Planned!$B$3,B108,1),0),$E108&lt;=Planned!$I$6, $E108&gt;=Planned!$H$6), "Yes","No")</f>
        <v>Yes</v>
      </c>
      <c r="K108" s="4">
        <f>F108*VLOOKUP($G108,Planned!$C$14:$E$16,3,FALSE)</f>
        <v>150</v>
      </c>
    </row>
    <row r="109" spans="1:11" x14ac:dyDescent="0.2">
      <c r="A109" s="27">
        <v>4041</v>
      </c>
      <c r="B109" s="27" t="s">
        <v>8</v>
      </c>
      <c r="C109" s="27" t="s">
        <v>17</v>
      </c>
      <c r="E109" s="28">
        <v>46060</v>
      </c>
      <c r="F109" s="27">
        <v>3</v>
      </c>
      <c r="G109" s="27" t="s">
        <v>10</v>
      </c>
      <c r="H109" s="27" t="s">
        <v>11</v>
      </c>
      <c r="I109" s="4" t="str">
        <f t="shared" si="1"/>
        <v>Mobile App</v>
      </c>
      <c r="J109" s="4" t="str">
        <f>IF(AND(IFERROR(FIND(Planned!$B$3,B109,1),0),$E109&lt;=Planned!$I$6, $E109&gt;=Planned!$H$6), "Yes","No")</f>
        <v>Yes</v>
      </c>
      <c r="K109" s="4">
        <f>F109*VLOOKUP($G109,Planned!$C$14:$E$16,3,FALSE)</f>
        <v>150</v>
      </c>
    </row>
    <row r="110" spans="1:11" x14ac:dyDescent="0.2">
      <c r="A110" s="27">
        <v>4041</v>
      </c>
      <c r="B110" s="27" t="s">
        <v>8</v>
      </c>
      <c r="C110" s="27" t="s">
        <v>17</v>
      </c>
      <c r="E110" s="28">
        <v>46061</v>
      </c>
      <c r="F110" s="27">
        <v>4</v>
      </c>
      <c r="G110" s="27" t="s">
        <v>10</v>
      </c>
      <c r="H110" s="27" t="s">
        <v>11</v>
      </c>
      <c r="I110" s="4" t="str">
        <f t="shared" si="1"/>
        <v>Mobile App</v>
      </c>
      <c r="J110" s="4" t="str">
        <f>IF(AND(IFERROR(FIND(Planned!$B$3,B110,1),0),$E110&lt;=Planned!$I$6, $E110&gt;=Planned!$H$6), "Yes","No")</f>
        <v>Yes</v>
      </c>
      <c r="K110" s="4">
        <f>F110*VLOOKUP($G110,Planned!$C$14:$E$16,3,FALSE)</f>
        <v>200</v>
      </c>
    </row>
    <row r="111" spans="1:11" x14ac:dyDescent="0.2">
      <c r="A111" s="27">
        <v>4041</v>
      </c>
      <c r="B111" s="27" t="s">
        <v>8</v>
      </c>
      <c r="C111" s="27" t="s">
        <v>17</v>
      </c>
      <c r="E111" s="28">
        <v>46062</v>
      </c>
      <c r="F111" s="27">
        <v>3</v>
      </c>
      <c r="G111" s="27" t="s">
        <v>10</v>
      </c>
      <c r="H111" s="27" t="s">
        <v>11</v>
      </c>
      <c r="I111" s="4" t="str">
        <f t="shared" si="1"/>
        <v>Mobile App</v>
      </c>
      <c r="J111" s="4" t="str">
        <f>IF(AND(IFERROR(FIND(Planned!$B$3,B111,1),0),$E111&lt;=Planned!$I$6, $E111&gt;=Planned!$H$6), "Yes","No")</f>
        <v>Yes</v>
      </c>
      <c r="K111" s="4">
        <f>F111*VLOOKUP($G111,Planned!$C$14:$E$16,3,FALSE)</f>
        <v>150</v>
      </c>
    </row>
    <row r="112" spans="1:11" x14ac:dyDescent="0.2">
      <c r="A112" s="27">
        <v>4041</v>
      </c>
      <c r="B112" s="27" t="s">
        <v>8</v>
      </c>
      <c r="C112" s="27" t="s">
        <v>17</v>
      </c>
      <c r="E112" s="28">
        <v>46063</v>
      </c>
      <c r="F112" s="27">
        <v>4</v>
      </c>
      <c r="G112" s="27" t="s">
        <v>10</v>
      </c>
      <c r="H112" s="27" t="s">
        <v>11</v>
      </c>
      <c r="I112" s="4" t="str">
        <f t="shared" si="1"/>
        <v>Mobile App</v>
      </c>
      <c r="J112" s="4" t="str">
        <f>IF(AND(IFERROR(FIND(Planned!$B$3,B112,1),0),$E112&lt;=Planned!$I$6, $E112&gt;=Planned!$H$6), "Yes","No")</f>
        <v>Yes</v>
      </c>
      <c r="K112" s="4">
        <f>F112*VLOOKUP($G112,Planned!$C$14:$E$16,3,FALSE)</f>
        <v>200</v>
      </c>
    </row>
    <row r="113" spans="1:11" x14ac:dyDescent="0.2">
      <c r="A113" s="27">
        <v>4041</v>
      </c>
      <c r="B113" s="27" t="s">
        <v>8</v>
      </c>
      <c r="C113" s="27" t="s">
        <v>17</v>
      </c>
      <c r="E113" s="28">
        <v>46064</v>
      </c>
      <c r="F113" s="27">
        <v>2</v>
      </c>
      <c r="G113" s="27" t="s">
        <v>10</v>
      </c>
      <c r="H113" s="27" t="s">
        <v>11</v>
      </c>
      <c r="I113" s="4" t="str">
        <f t="shared" si="1"/>
        <v>Mobile App</v>
      </c>
      <c r="J113" s="4" t="str">
        <f>IF(AND(IFERROR(FIND(Planned!$B$3,B113,1),0),$E113&lt;=Planned!$I$6, $E113&gt;=Planned!$H$6), "Yes","No")</f>
        <v>Yes</v>
      </c>
      <c r="K113" s="4">
        <f>F113*VLOOKUP($G113,Planned!$C$14:$E$16,3,FALSE)</f>
        <v>100</v>
      </c>
    </row>
    <row r="114" spans="1:11" x14ac:dyDescent="0.2">
      <c r="A114" s="27">
        <v>4041</v>
      </c>
      <c r="B114" s="27" t="s">
        <v>8</v>
      </c>
      <c r="C114" s="27" t="s">
        <v>17</v>
      </c>
      <c r="E114" s="28">
        <v>46065</v>
      </c>
      <c r="F114" s="27">
        <v>2</v>
      </c>
      <c r="G114" s="27" t="s">
        <v>10</v>
      </c>
      <c r="H114" s="27" t="s">
        <v>11</v>
      </c>
      <c r="I114" s="4" t="str">
        <f t="shared" si="1"/>
        <v>Mobile App</v>
      </c>
      <c r="J114" s="4" t="str">
        <f>IF(AND(IFERROR(FIND(Planned!$B$3,B114,1),0),$E114&lt;=Planned!$I$6, $E114&gt;=Planned!$H$6), "Yes","No")</f>
        <v>Yes</v>
      </c>
      <c r="K114" s="4">
        <f>F114*VLOOKUP($G114,Planned!$C$14:$E$16,3,FALSE)</f>
        <v>100</v>
      </c>
    </row>
    <row r="115" spans="1:11" hidden="1" x14ac:dyDescent="0.2">
      <c r="A115" s="27">
        <v>4042</v>
      </c>
      <c r="B115" s="27" t="s">
        <v>15</v>
      </c>
      <c r="C115" s="27" t="s">
        <v>17</v>
      </c>
      <c r="E115" s="28">
        <v>46066</v>
      </c>
      <c r="F115" s="27">
        <v>6</v>
      </c>
      <c r="G115" s="27" t="s">
        <v>13</v>
      </c>
      <c r="H115" s="27" t="s">
        <v>12</v>
      </c>
      <c r="I115" s="4" t="str">
        <f t="shared" si="1"/>
        <v>Integration API</v>
      </c>
      <c r="J115" s="4" t="str">
        <f>IF(AND(IFERROR(FIND(Planned!$B$3,B115,1),0),$E115&lt;=Planned!$I$6, $E115&gt;=Planned!$H$6), "Yes","No")</f>
        <v>No</v>
      </c>
      <c r="K115" s="4">
        <f>F115*VLOOKUP($G115,Planned!$C$14:$E$16,3,FALSE)</f>
        <v>330</v>
      </c>
    </row>
    <row r="116" spans="1:11" hidden="1" x14ac:dyDescent="0.2">
      <c r="A116" s="27">
        <v>4042</v>
      </c>
      <c r="B116" s="27" t="s">
        <v>15</v>
      </c>
      <c r="C116" s="27" t="s">
        <v>17</v>
      </c>
      <c r="E116" s="28">
        <v>46067</v>
      </c>
      <c r="F116" s="27">
        <v>6</v>
      </c>
      <c r="G116" s="27" t="s">
        <v>13</v>
      </c>
      <c r="H116" s="27" t="s">
        <v>12</v>
      </c>
      <c r="I116" s="4" t="str">
        <f t="shared" si="1"/>
        <v>Integration API</v>
      </c>
      <c r="J116" s="4" t="str">
        <f>IF(AND(IFERROR(FIND(Planned!$B$3,B116,1),0),$E116&lt;=Planned!$I$6, $E116&gt;=Planned!$H$6), "Yes","No")</f>
        <v>No</v>
      </c>
      <c r="K116" s="4">
        <f>F116*VLOOKUP($G116,Planned!$C$14:$E$16,3,FALSE)</f>
        <v>330</v>
      </c>
    </row>
    <row r="117" spans="1:11" x14ac:dyDescent="0.2">
      <c r="A117" s="27">
        <v>4041</v>
      </c>
      <c r="B117" s="27" t="s">
        <v>8</v>
      </c>
      <c r="C117" s="27" t="s">
        <v>17</v>
      </c>
      <c r="E117" s="28">
        <v>46068</v>
      </c>
      <c r="F117" s="27">
        <v>6</v>
      </c>
      <c r="G117" s="27" t="s">
        <v>13</v>
      </c>
      <c r="H117" s="27" t="s">
        <v>11</v>
      </c>
      <c r="I117" s="4" t="str">
        <f t="shared" si="1"/>
        <v>Mobile App</v>
      </c>
      <c r="J117" s="4" t="str">
        <f>IF(AND(IFERROR(FIND(Planned!$B$3,B117,1),0),$E117&lt;=Planned!$I$6, $E117&gt;=Planned!$H$6), "Yes","No")</f>
        <v>Yes</v>
      </c>
      <c r="K117" s="4">
        <f>F117*VLOOKUP($G117,Planned!$C$14:$E$16,3,FALSE)</f>
        <v>330</v>
      </c>
    </row>
    <row r="118" spans="1:11" x14ac:dyDescent="0.2">
      <c r="A118" s="27">
        <v>4041</v>
      </c>
      <c r="B118" s="27" t="s">
        <v>8</v>
      </c>
      <c r="C118" s="27" t="s">
        <v>17</v>
      </c>
      <c r="E118" s="28">
        <v>46069</v>
      </c>
      <c r="F118" s="27">
        <v>2</v>
      </c>
      <c r="G118" s="27" t="s">
        <v>10</v>
      </c>
      <c r="H118" s="27" t="s">
        <v>11</v>
      </c>
      <c r="I118" s="4" t="str">
        <f t="shared" si="1"/>
        <v>Mobile App</v>
      </c>
      <c r="J118" s="4" t="str">
        <f>IF(AND(IFERROR(FIND(Planned!$B$3,B118,1),0),$E118&lt;=Planned!$I$6, $E118&gt;=Planned!$H$6), "Yes","No")</f>
        <v>Yes</v>
      </c>
      <c r="K118" s="4">
        <f>F118*VLOOKUP($G118,Planned!$C$14:$E$16,3,FALSE)</f>
        <v>100</v>
      </c>
    </row>
    <row r="119" spans="1:11" x14ac:dyDescent="0.2">
      <c r="A119" s="27">
        <v>4041</v>
      </c>
      <c r="B119" s="27" t="s">
        <v>8</v>
      </c>
      <c r="C119" s="27" t="s">
        <v>17</v>
      </c>
      <c r="E119" s="28">
        <v>46070</v>
      </c>
      <c r="F119" s="27">
        <v>2</v>
      </c>
      <c r="G119" s="27" t="s">
        <v>13</v>
      </c>
      <c r="H119" s="27" t="s">
        <v>11</v>
      </c>
      <c r="I119" s="4" t="str">
        <f t="shared" si="1"/>
        <v>Mobile App</v>
      </c>
      <c r="J119" s="4" t="str">
        <f>IF(AND(IFERROR(FIND(Planned!$B$3,B119,1),0),$E119&lt;=Planned!$I$6, $E119&gt;=Planned!$H$6), "Yes","No")</f>
        <v>Yes</v>
      </c>
      <c r="K119" s="4">
        <f>F119*VLOOKUP($G119,Planned!$C$14:$E$16,3,FALSE)</f>
        <v>110</v>
      </c>
    </row>
    <row r="120" spans="1:11" x14ac:dyDescent="0.2">
      <c r="A120" s="27">
        <v>4041</v>
      </c>
      <c r="B120" s="27" t="s">
        <v>8</v>
      </c>
      <c r="C120" s="27" t="s">
        <v>17</v>
      </c>
      <c r="E120" s="28">
        <v>46071</v>
      </c>
      <c r="F120" s="27">
        <v>1</v>
      </c>
      <c r="G120" s="27" t="s">
        <v>13</v>
      </c>
      <c r="H120" s="27" t="s">
        <v>11</v>
      </c>
      <c r="I120" s="4" t="str">
        <f t="shared" si="1"/>
        <v>Mobile App</v>
      </c>
      <c r="J120" s="4" t="str">
        <f>IF(AND(IFERROR(FIND(Planned!$B$3,B120,1),0),$E120&lt;=Planned!$I$6, $E120&gt;=Planned!$H$6), "Yes","No")</f>
        <v>Yes</v>
      </c>
      <c r="K120" s="4">
        <f>F120*VLOOKUP($G120,Planned!$C$14:$E$16,3,FALSE)</f>
        <v>55</v>
      </c>
    </row>
    <row r="121" spans="1:11" x14ac:dyDescent="0.2">
      <c r="A121" s="27">
        <v>4041</v>
      </c>
      <c r="B121" s="27" t="s">
        <v>8</v>
      </c>
      <c r="C121" s="27" t="s">
        <v>17</v>
      </c>
      <c r="E121" s="28">
        <v>46072</v>
      </c>
      <c r="F121" s="27">
        <v>3.5</v>
      </c>
      <c r="G121" s="27" t="s">
        <v>13</v>
      </c>
      <c r="H121" s="27" t="s">
        <v>11</v>
      </c>
      <c r="I121" s="4" t="str">
        <f t="shared" si="1"/>
        <v>Mobile App</v>
      </c>
      <c r="J121" s="4" t="str">
        <f>IF(AND(IFERROR(FIND(Planned!$B$3,B121,1),0),$E121&lt;=Planned!$I$6, $E121&gt;=Planned!$H$6), "Yes","No")</f>
        <v>Yes</v>
      </c>
      <c r="K121" s="4">
        <f>F121*VLOOKUP($G121,Planned!$C$14:$E$16,3,FALSE)</f>
        <v>192.5</v>
      </c>
    </row>
    <row r="122" spans="1:11" x14ac:dyDescent="0.2">
      <c r="A122" s="27">
        <v>4041</v>
      </c>
      <c r="B122" s="27" t="s">
        <v>8</v>
      </c>
      <c r="C122" s="27" t="s">
        <v>17</v>
      </c>
      <c r="E122" s="28">
        <v>46073</v>
      </c>
      <c r="F122" s="27">
        <v>5</v>
      </c>
      <c r="G122" s="27" t="s">
        <v>10</v>
      </c>
      <c r="H122" s="27" t="s">
        <v>11</v>
      </c>
      <c r="I122" s="4" t="str">
        <f t="shared" si="1"/>
        <v>Mobile App</v>
      </c>
      <c r="J122" s="4" t="str">
        <f>IF(AND(IFERROR(FIND(Planned!$B$3,B122,1),0),$E122&lt;=Planned!$I$6, $E122&gt;=Planned!$H$6), "Yes","No")</f>
        <v>Yes</v>
      </c>
      <c r="K122" s="4">
        <f>F122*VLOOKUP($G122,Planned!$C$14:$E$16,3,FALSE)</f>
        <v>250</v>
      </c>
    </row>
    <row r="123" spans="1:11" x14ac:dyDescent="0.2">
      <c r="A123" s="27">
        <v>4041</v>
      </c>
      <c r="B123" s="27" t="s">
        <v>8</v>
      </c>
      <c r="C123" s="27" t="s">
        <v>17</v>
      </c>
      <c r="E123" s="28">
        <v>46074</v>
      </c>
      <c r="F123" s="27">
        <v>4</v>
      </c>
      <c r="G123" s="27" t="s">
        <v>18</v>
      </c>
      <c r="H123" s="27" t="s">
        <v>11</v>
      </c>
      <c r="I123" s="4" t="str">
        <f t="shared" si="1"/>
        <v>Mobile App</v>
      </c>
      <c r="J123" s="4" t="str">
        <f>IF(AND(IFERROR(FIND(Planned!$B$3,B123,1),0),$E123&lt;=Planned!$I$6, $E123&gt;=Planned!$H$6), "Yes","No")</f>
        <v>Yes</v>
      </c>
      <c r="K123" s="4">
        <f>F123*VLOOKUP($G123,Planned!$C$14:$E$16,3,FALSE)</f>
        <v>200</v>
      </c>
    </row>
    <row r="124" spans="1:11" x14ac:dyDescent="0.2">
      <c r="A124" s="27">
        <v>4041</v>
      </c>
      <c r="B124" s="27" t="s">
        <v>8</v>
      </c>
      <c r="C124" s="27" t="s">
        <v>17</v>
      </c>
      <c r="E124" s="28">
        <v>46075</v>
      </c>
      <c r="F124" s="27">
        <v>3</v>
      </c>
      <c r="G124" s="27" t="s">
        <v>18</v>
      </c>
      <c r="H124" s="27" t="s">
        <v>11</v>
      </c>
      <c r="I124" s="4" t="str">
        <f t="shared" si="1"/>
        <v>Mobile App</v>
      </c>
      <c r="J124" s="4" t="str">
        <f>IF(AND(IFERROR(FIND(Planned!$B$3,B124,1),0),$E124&lt;=Planned!$I$6, $E124&gt;=Planned!$H$6), "Yes","No")</f>
        <v>Yes</v>
      </c>
      <c r="K124" s="4">
        <f>F124*VLOOKUP($G124,Planned!$C$14:$E$16,3,FALSE)</f>
        <v>150</v>
      </c>
    </row>
    <row r="125" spans="1:11" x14ac:dyDescent="0.2">
      <c r="A125" s="27">
        <v>4041</v>
      </c>
      <c r="B125" s="27" t="s">
        <v>8</v>
      </c>
      <c r="C125" s="27" t="s">
        <v>17</v>
      </c>
      <c r="E125" s="28">
        <v>46076</v>
      </c>
      <c r="F125" s="27">
        <v>1</v>
      </c>
      <c r="G125" s="27" t="s">
        <v>18</v>
      </c>
      <c r="H125" s="27" t="s">
        <v>11</v>
      </c>
      <c r="I125" s="4" t="str">
        <f t="shared" si="1"/>
        <v>Mobile App</v>
      </c>
      <c r="J125" s="4" t="str">
        <f>IF(AND(IFERROR(FIND(Planned!$B$3,B125,1),0),$E125&lt;=Planned!$I$6, $E125&gt;=Planned!$H$6), "Yes","No")</f>
        <v>Yes</v>
      </c>
      <c r="K125" s="4">
        <f>F125*VLOOKUP($G125,Planned!$C$14:$E$16,3,FALSE)</f>
        <v>50</v>
      </c>
    </row>
    <row r="126" spans="1:11" x14ac:dyDescent="0.2">
      <c r="A126" s="27">
        <v>4041</v>
      </c>
      <c r="B126" s="27" t="s">
        <v>8</v>
      </c>
      <c r="C126" s="27" t="s">
        <v>17</v>
      </c>
      <c r="E126" s="28">
        <v>46077</v>
      </c>
      <c r="F126" s="27">
        <v>2</v>
      </c>
      <c r="G126" s="27" t="s">
        <v>18</v>
      </c>
      <c r="H126" s="27" t="s">
        <v>11</v>
      </c>
      <c r="I126" s="4" t="str">
        <f t="shared" si="1"/>
        <v>Mobile App</v>
      </c>
      <c r="J126" s="4" t="str">
        <f>IF(AND(IFERROR(FIND(Planned!$B$3,B126,1),0),$E126&lt;=Planned!$I$6, $E126&gt;=Planned!$H$6), "Yes","No")</f>
        <v>Yes</v>
      </c>
      <c r="K126" s="4">
        <f>F126*VLOOKUP($G126,Planned!$C$14:$E$16,3,FALSE)</f>
        <v>100</v>
      </c>
    </row>
    <row r="127" spans="1:11" hidden="1" x14ac:dyDescent="0.2">
      <c r="A127" s="27">
        <v>4042</v>
      </c>
      <c r="B127" s="27" t="s">
        <v>15</v>
      </c>
      <c r="C127" s="27" t="s">
        <v>17</v>
      </c>
      <c r="E127" s="28">
        <v>46078</v>
      </c>
      <c r="F127" s="27">
        <v>6</v>
      </c>
      <c r="G127" s="27" t="s">
        <v>18</v>
      </c>
      <c r="H127" s="27" t="s">
        <v>11</v>
      </c>
      <c r="I127" s="4" t="str">
        <f t="shared" si="1"/>
        <v>Mobile App</v>
      </c>
      <c r="J127" s="4" t="str">
        <f>IF(AND(IFERROR(FIND(Planned!$B$3,B127,1),0),$E127&lt;=Planned!$I$6, $E127&gt;=Planned!$H$6), "Yes","No")</f>
        <v>No</v>
      </c>
      <c r="K127" s="4">
        <f>F127*VLOOKUP($G127,Planned!$C$14:$E$16,3,FALSE)</f>
        <v>300</v>
      </c>
    </row>
    <row r="128" spans="1:11" hidden="1" x14ac:dyDescent="0.2">
      <c r="A128" s="27">
        <v>4042</v>
      </c>
      <c r="B128" s="27" t="s">
        <v>15</v>
      </c>
      <c r="C128" s="27" t="s">
        <v>17</v>
      </c>
      <c r="E128" s="28">
        <v>46079</v>
      </c>
      <c r="F128" s="27">
        <v>6</v>
      </c>
      <c r="G128" s="27" t="s">
        <v>18</v>
      </c>
      <c r="H128" s="27" t="s">
        <v>16</v>
      </c>
      <c r="I128" s="4" t="str">
        <f t="shared" si="1"/>
        <v>Maintenance</v>
      </c>
      <c r="J128" s="4" t="str">
        <f>IF(AND(IFERROR(FIND(Planned!$B$3,B128,1),0),$E128&lt;=Planned!$I$6, $E128&gt;=Planned!$H$6), "Yes","No")</f>
        <v>No</v>
      </c>
      <c r="K128" s="4">
        <f>F128*VLOOKUP($G128,Planned!$C$14:$E$16,3,FALSE)</f>
        <v>300</v>
      </c>
    </row>
    <row r="129" spans="1:11" x14ac:dyDescent="0.2">
      <c r="A129" s="27">
        <v>4041</v>
      </c>
      <c r="B129" s="27" t="s">
        <v>8</v>
      </c>
      <c r="C129" s="27" t="s">
        <v>17</v>
      </c>
      <c r="E129" s="28">
        <v>46080</v>
      </c>
      <c r="F129" s="27">
        <v>7</v>
      </c>
      <c r="G129" s="27" t="s">
        <v>18</v>
      </c>
      <c r="H129" s="27" t="s">
        <v>11</v>
      </c>
      <c r="I129" s="4" t="str">
        <f t="shared" si="1"/>
        <v>Mobile App</v>
      </c>
      <c r="J129" s="4" t="str">
        <f>IF(AND(IFERROR(FIND(Planned!$B$3,B129,1),0),$E129&lt;=Planned!$I$6, $E129&gt;=Planned!$H$6), "Yes","No")</f>
        <v>Yes</v>
      </c>
      <c r="K129" s="4">
        <f>F129*VLOOKUP($G129,Planned!$C$14:$E$16,3,FALSE)</f>
        <v>350</v>
      </c>
    </row>
    <row r="130" spans="1:11" x14ac:dyDescent="0.2">
      <c r="A130" s="27">
        <v>4041</v>
      </c>
      <c r="B130" s="27" t="s">
        <v>8</v>
      </c>
      <c r="C130" s="27" t="s">
        <v>17</v>
      </c>
      <c r="E130" s="28">
        <v>46081</v>
      </c>
      <c r="F130" s="27">
        <v>7</v>
      </c>
      <c r="G130" s="27" t="s">
        <v>18</v>
      </c>
      <c r="H130" s="27" t="s">
        <v>11</v>
      </c>
      <c r="I130" s="4" t="str">
        <f t="shared" si="1"/>
        <v>Mobile App</v>
      </c>
      <c r="J130" s="4" t="str">
        <f>IF(AND(IFERROR(FIND(Planned!$B$3,B130,1),0),$E130&lt;=Planned!$I$6, $E130&gt;=Planned!$H$6), "Yes","No")</f>
        <v>Yes</v>
      </c>
      <c r="K130" s="4">
        <f>F130*VLOOKUP($G130,Planned!$C$14:$E$16,3,FALSE)</f>
        <v>350</v>
      </c>
    </row>
    <row r="131" spans="1:11" x14ac:dyDescent="0.2">
      <c r="A131" s="27">
        <v>4041</v>
      </c>
      <c r="B131" s="27" t="s">
        <v>8</v>
      </c>
      <c r="C131" s="27" t="s">
        <v>17</v>
      </c>
      <c r="D131" s="27" t="s">
        <v>11</v>
      </c>
      <c r="E131" s="28">
        <v>46082</v>
      </c>
      <c r="F131" s="27">
        <v>8</v>
      </c>
      <c r="G131" s="27" t="s">
        <v>18</v>
      </c>
      <c r="I131" s="4" t="str">
        <f t="shared" ref="I131:I194" si="2">$D131&amp;$H131</f>
        <v>Mobile App</v>
      </c>
      <c r="J131" s="4" t="str">
        <f>IF(AND(IFERROR(FIND(Planned!$B$3,B131,1),0),$E131&lt;=Planned!$I$6, $E131&gt;=Planned!$H$6), "Yes","No")</f>
        <v>Yes</v>
      </c>
      <c r="K131" s="4">
        <f>F131*VLOOKUP($G131,Planned!$C$14:$E$16,3,FALSE)</f>
        <v>400</v>
      </c>
    </row>
    <row r="132" spans="1:11" x14ac:dyDescent="0.2">
      <c r="A132" s="27">
        <v>4041</v>
      </c>
      <c r="B132" s="27" t="s">
        <v>8</v>
      </c>
      <c r="C132" s="27" t="s">
        <v>17</v>
      </c>
      <c r="D132" s="27" t="s">
        <v>11</v>
      </c>
      <c r="E132" s="28">
        <v>46083</v>
      </c>
      <c r="F132" s="27">
        <v>8</v>
      </c>
      <c r="G132" s="27" t="s">
        <v>18</v>
      </c>
      <c r="I132" s="4" t="str">
        <f t="shared" si="2"/>
        <v>Mobile App</v>
      </c>
      <c r="J132" s="4" t="str">
        <f>IF(AND(IFERROR(FIND(Planned!$B$3,B132,1),0),$E132&lt;=Planned!$I$6, $E132&gt;=Planned!$H$6), "Yes","No")</f>
        <v>Yes</v>
      </c>
      <c r="K132" s="4">
        <f>F132*VLOOKUP($G132,Planned!$C$14:$E$16,3,FALSE)</f>
        <v>400</v>
      </c>
    </row>
    <row r="133" spans="1:11" x14ac:dyDescent="0.2">
      <c r="A133" s="27">
        <v>4041</v>
      </c>
      <c r="B133" s="27" t="s">
        <v>8</v>
      </c>
      <c r="C133" s="27" t="s">
        <v>19</v>
      </c>
      <c r="D133" s="27" t="s">
        <v>14</v>
      </c>
      <c r="E133" s="28">
        <v>46084</v>
      </c>
      <c r="F133" s="27">
        <v>8</v>
      </c>
      <c r="G133" s="27" t="s">
        <v>18</v>
      </c>
      <c r="I133" s="4" t="str">
        <f t="shared" si="2"/>
        <v>Reports</v>
      </c>
      <c r="J133" s="4" t="str">
        <f>IF(AND(IFERROR(FIND(Planned!$B$3,B133,1),0),$E133&lt;=Planned!$I$6, $E133&gt;=Planned!$H$6), "Yes","No")</f>
        <v>Yes</v>
      </c>
      <c r="K133" s="4">
        <f>F133*VLOOKUP($G133,Planned!$C$14:$E$16,3,FALSE)</f>
        <v>400</v>
      </c>
    </row>
    <row r="134" spans="1:11" x14ac:dyDescent="0.2">
      <c r="A134" s="27">
        <v>4041</v>
      </c>
      <c r="B134" s="27" t="s">
        <v>8</v>
      </c>
      <c r="C134" s="27" t="s">
        <v>19</v>
      </c>
      <c r="D134" s="27" t="s">
        <v>14</v>
      </c>
      <c r="E134" s="28">
        <v>46085</v>
      </c>
      <c r="F134" s="27">
        <v>8</v>
      </c>
      <c r="G134" s="27" t="s">
        <v>18</v>
      </c>
      <c r="I134" s="4" t="str">
        <f t="shared" si="2"/>
        <v>Reports</v>
      </c>
      <c r="J134" s="4" t="str">
        <f>IF(AND(IFERROR(FIND(Planned!$B$3,B134,1),0),$E134&lt;=Planned!$I$6, $E134&gt;=Planned!$H$6), "Yes","No")</f>
        <v>Yes</v>
      </c>
      <c r="K134" s="4">
        <f>F134*VLOOKUP($G134,Planned!$C$14:$E$16,3,FALSE)</f>
        <v>400</v>
      </c>
    </row>
    <row r="135" spans="1:11" x14ac:dyDescent="0.2">
      <c r="A135" s="27">
        <v>4041</v>
      </c>
      <c r="B135" s="27" t="s">
        <v>8</v>
      </c>
      <c r="C135" s="27" t="s">
        <v>19</v>
      </c>
      <c r="D135" s="27" t="s">
        <v>14</v>
      </c>
      <c r="E135" s="28">
        <v>46086</v>
      </c>
      <c r="F135" s="27">
        <v>8</v>
      </c>
      <c r="G135" s="27" t="s">
        <v>18</v>
      </c>
      <c r="I135" s="4" t="str">
        <f t="shared" si="2"/>
        <v>Reports</v>
      </c>
      <c r="J135" s="4" t="str">
        <f>IF(AND(IFERROR(FIND(Planned!$B$3,B135,1),0),$E135&lt;=Planned!$I$6, $E135&gt;=Planned!$H$6), "Yes","No")</f>
        <v>Yes</v>
      </c>
      <c r="K135" s="4">
        <f>F135*VLOOKUP($G135,Planned!$C$14:$E$16,3,FALSE)</f>
        <v>400</v>
      </c>
    </row>
    <row r="136" spans="1:11" x14ac:dyDescent="0.2">
      <c r="A136" s="27">
        <v>4041</v>
      </c>
      <c r="B136" s="27" t="s">
        <v>8</v>
      </c>
      <c r="C136" s="27" t="s">
        <v>19</v>
      </c>
      <c r="D136" s="27" t="s">
        <v>14</v>
      </c>
      <c r="E136" s="28">
        <v>46087</v>
      </c>
      <c r="F136" s="27">
        <v>7</v>
      </c>
      <c r="G136" s="27" t="s">
        <v>18</v>
      </c>
      <c r="I136" s="4" t="str">
        <f t="shared" si="2"/>
        <v>Reports</v>
      </c>
      <c r="J136" s="4" t="str">
        <f>IF(AND(IFERROR(FIND(Planned!$B$3,B136,1),0),$E136&lt;=Planned!$I$6, $E136&gt;=Planned!$H$6), "Yes","No")</f>
        <v>Yes</v>
      </c>
      <c r="K136" s="4">
        <f>F136*VLOOKUP($G136,Planned!$C$14:$E$16,3,FALSE)</f>
        <v>350</v>
      </c>
    </row>
    <row r="137" spans="1:11" x14ac:dyDescent="0.2">
      <c r="A137" s="27">
        <v>4041</v>
      </c>
      <c r="B137" s="27" t="s">
        <v>8</v>
      </c>
      <c r="C137" s="27" t="s">
        <v>19</v>
      </c>
      <c r="D137" s="27" t="s">
        <v>14</v>
      </c>
      <c r="E137" s="28">
        <v>46088</v>
      </c>
      <c r="F137" s="27">
        <v>8</v>
      </c>
      <c r="G137" s="27" t="s">
        <v>18</v>
      </c>
      <c r="I137" s="4" t="str">
        <f t="shared" si="2"/>
        <v>Reports</v>
      </c>
      <c r="J137" s="4" t="str">
        <f>IF(AND(IFERROR(FIND(Planned!$B$3,B137,1),0),$E137&lt;=Planned!$I$6, $E137&gt;=Planned!$H$6), "Yes","No")</f>
        <v>Yes</v>
      </c>
      <c r="K137" s="4">
        <f>F137*VLOOKUP($G137,Planned!$C$14:$E$16,3,FALSE)</f>
        <v>400</v>
      </c>
    </row>
    <row r="138" spans="1:11" x14ac:dyDescent="0.2">
      <c r="A138" s="27">
        <v>4041</v>
      </c>
      <c r="B138" s="27" t="s">
        <v>8</v>
      </c>
      <c r="C138" s="27" t="s">
        <v>19</v>
      </c>
      <c r="D138" s="27" t="s">
        <v>11</v>
      </c>
      <c r="E138" s="28">
        <v>46089</v>
      </c>
      <c r="F138" s="27">
        <v>7</v>
      </c>
      <c r="G138" s="27" t="s">
        <v>18</v>
      </c>
      <c r="I138" s="4" t="str">
        <f t="shared" si="2"/>
        <v>Mobile App</v>
      </c>
      <c r="J138" s="4" t="str">
        <f>IF(AND(IFERROR(FIND(Planned!$B$3,B138,1),0),$E138&lt;=Planned!$I$6, $E138&gt;=Planned!$H$6), "Yes","No")</f>
        <v>Yes</v>
      </c>
      <c r="K138" s="4">
        <f>F138*VLOOKUP($G138,Planned!$C$14:$E$16,3,FALSE)</f>
        <v>350</v>
      </c>
    </row>
    <row r="139" spans="1:11" x14ac:dyDescent="0.2">
      <c r="A139" s="27">
        <v>4041</v>
      </c>
      <c r="B139" s="27" t="s">
        <v>8</v>
      </c>
      <c r="C139" s="27" t="s">
        <v>19</v>
      </c>
      <c r="D139" s="27" t="s">
        <v>11</v>
      </c>
      <c r="E139" s="28">
        <v>46090</v>
      </c>
      <c r="F139" s="27">
        <v>3</v>
      </c>
      <c r="G139" s="27" t="s">
        <v>18</v>
      </c>
      <c r="I139" s="4" t="str">
        <f t="shared" si="2"/>
        <v>Mobile App</v>
      </c>
      <c r="J139" s="4" t="str">
        <f>IF(AND(IFERROR(FIND(Planned!$B$3,B139,1),0),$E139&lt;=Planned!$I$6, $E139&gt;=Planned!$H$6), "Yes","No")</f>
        <v>Yes</v>
      </c>
      <c r="K139" s="4">
        <f>F139*VLOOKUP($G139,Planned!$C$14:$E$16,3,FALSE)</f>
        <v>150</v>
      </c>
    </row>
    <row r="140" spans="1:11" x14ac:dyDescent="0.2">
      <c r="A140" s="27">
        <v>4041</v>
      </c>
      <c r="B140" s="27" t="s">
        <v>8</v>
      </c>
      <c r="C140" s="27" t="s">
        <v>19</v>
      </c>
      <c r="D140" s="27" t="s">
        <v>11</v>
      </c>
      <c r="E140" s="28">
        <v>46091</v>
      </c>
      <c r="F140" s="27">
        <v>3</v>
      </c>
      <c r="G140" s="27" t="s">
        <v>18</v>
      </c>
      <c r="I140" s="4" t="str">
        <f t="shared" si="2"/>
        <v>Mobile App</v>
      </c>
      <c r="J140" s="4" t="str">
        <f>IF(AND(IFERROR(FIND(Planned!$B$3,B140,1),0),$E140&lt;=Planned!$I$6, $E140&gt;=Planned!$H$6), "Yes","No")</f>
        <v>Yes</v>
      </c>
      <c r="K140" s="4">
        <f>F140*VLOOKUP($G140,Planned!$C$14:$E$16,3,FALSE)</f>
        <v>150</v>
      </c>
    </row>
    <row r="141" spans="1:11" x14ac:dyDescent="0.2">
      <c r="A141" s="27">
        <v>4041</v>
      </c>
      <c r="B141" s="27" t="s">
        <v>8</v>
      </c>
      <c r="C141" s="27" t="s">
        <v>19</v>
      </c>
      <c r="D141" s="27" t="s">
        <v>11</v>
      </c>
      <c r="E141" s="28">
        <v>46092</v>
      </c>
      <c r="F141" s="27">
        <v>7</v>
      </c>
      <c r="G141" s="27" t="s">
        <v>18</v>
      </c>
      <c r="I141" s="4" t="str">
        <f t="shared" si="2"/>
        <v>Mobile App</v>
      </c>
      <c r="J141" s="4" t="str">
        <f>IF(AND(IFERROR(FIND(Planned!$B$3,B141,1),0),$E141&lt;=Planned!$I$6, $E141&gt;=Planned!$H$6), "Yes","No")</f>
        <v>Yes</v>
      </c>
      <c r="K141" s="4">
        <f>F141*VLOOKUP($G141,Planned!$C$14:$E$16,3,FALSE)</f>
        <v>350</v>
      </c>
    </row>
    <row r="142" spans="1:11" hidden="1" x14ac:dyDescent="0.2">
      <c r="A142" s="27">
        <v>4042</v>
      </c>
      <c r="B142" s="27" t="s">
        <v>15</v>
      </c>
      <c r="C142" s="27" t="s">
        <v>19</v>
      </c>
      <c r="D142" s="27" t="s">
        <v>16</v>
      </c>
      <c r="E142" s="28">
        <v>46093</v>
      </c>
      <c r="F142" s="27">
        <v>6</v>
      </c>
      <c r="G142" s="27" t="s">
        <v>18</v>
      </c>
      <c r="I142" s="4" t="str">
        <f t="shared" si="2"/>
        <v>Maintenance</v>
      </c>
      <c r="J142" s="4" t="str">
        <f>IF(AND(IFERROR(FIND(Planned!$B$3,B142,1),0),$E142&lt;=Planned!$I$6, $E142&gt;=Planned!$H$6), "Yes","No")</f>
        <v>No</v>
      </c>
      <c r="K142" s="4">
        <f>F142*VLOOKUP($G142,Planned!$C$14:$E$16,3,FALSE)</f>
        <v>300</v>
      </c>
    </row>
    <row r="143" spans="1:11" x14ac:dyDescent="0.2">
      <c r="A143" s="27">
        <v>4041</v>
      </c>
      <c r="B143" s="27" t="s">
        <v>8</v>
      </c>
      <c r="C143" s="27" t="s">
        <v>19</v>
      </c>
      <c r="D143" s="27" t="s">
        <v>11</v>
      </c>
      <c r="E143" s="28">
        <v>46094</v>
      </c>
      <c r="F143" s="27">
        <v>7</v>
      </c>
      <c r="G143" s="27" t="s">
        <v>18</v>
      </c>
      <c r="I143" s="4" t="str">
        <f t="shared" si="2"/>
        <v>Mobile App</v>
      </c>
      <c r="J143" s="4" t="str">
        <f>IF(AND(IFERROR(FIND(Planned!$B$3,B143,1),0),$E143&lt;=Planned!$I$6, $E143&gt;=Planned!$H$6), "Yes","No")</f>
        <v>Yes</v>
      </c>
      <c r="K143" s="4">
        <f>F143*VLOOKUP($G143,Planned!$C$14:$E$16,3,FALSE)</f>
        <v>350</v>
      </c>
    </row>
    <row r="144" spans="1:11" hidden="1" x14ac:dyDescent="0.2">
      <c r="A144" s="27">
        <v>4041</v>
      </c>
      <c r="B144" s="27" t="s">
        <v>8</v>
      </c>
      <c r="C144" s="27" t="s">
        <v>19</v>
      </c>
      <c r="D144" s="27" t="s">
        <v>11</v>
      </c>
      <c r="E144" s="28">
        <v>46113</v>
      </c>
      <c r="F144" s="27">
        <v>7</v>
      </c>
      <c r="G144" s="27" t="s">
        <v>18</v>
      </c>
      <c r="I144" s="4" t="str">
        <f t="shared" si="2"/>
        <v>Mobile App</v>
      </c>
      <c r="J144" s="4" t="str">
        <f>IF(AND(IFERROR(FIND(Planned!$B$3,B144,1),0),$E144&lt;=Planned!$I$6, $E144&gt;=Planned!$H$6), "Yes","No")</f>
        <v>No</v>
      </c>
      <c r="K144" s="4">
        <f>F144*VLOOKUP($G144,Planned!$C$14:$E$16,3,FALSE)</f>
        <v>350</v>
      </c>
    </row>
    <row r="145" spans="1:11" hidden="1" x14ac:dyDescent="0.2">
      <c r="A145" s="27">
        <v>4041</v>
      </c>
      <c r="B145" s="27" t="s">
        <v>8</v>
      </c>
      <c r="C145" s="27" t="s">
        <v>19</v>
      </c>
      <c r="D145" s="27" t="s">
        <v>11</v>
      </c>
      <c r="E145" s="28">
        <v>46114</v>
      </c>
      <c r="F145" s="27">
        <v>4</v>
      </c>
      <c r="G145" s="27" t="s">
        <v>18</v>
      </c>
      <c r="I145" s="4" t="str">
        <f t="shared" si="2"/>
        <v>Mobile App</v>
      </c>
      <c r="J145" s="4" t="str">
        <f>IF(AND(IFERROR(FIND(Planned!$B$3,B145,1),0),$E145&lt;=Planned!$I$6, $E145&gt;=Planned!$H$6), "Yes","No")</f>
        <v>No</v>
      </c>
      <c r="K145" s="4">
        <f>F145*VLOOKUP($G145,Planned!$C$14:$E$16,3,FALSE)</f>
        <v>200</v>
      </c>
    </row>
    <row r="146" spans="1:11" hidden="1" x14ac:dyDescent="0.2">
      <c r="A146" s="27">
        <v>4041</v>
      </c>
      <c r="B146" s="27" t="s">
        <v>8</v>
      </c>
      <c r="C146" s="27" t="s">
        <v>19</v>
      </c>
      <c r="D146" s="27" t="s">
        <v>11</v>
      </c>
      <c r="E146" s="28">
        <v>46115</v>
      </c>
      <c r="F146" s="27">
        <v>7</v>
      </c>
      <c r="G146" s="27" t="s">
        <v>18</v>
      </c>
      <c r="I146" s="4" t="str">
        <f t="shared" si="2"/>
        <v>Mobile App</v>
      </c>
      <c r="J146" s="4" t="str">
        <f>IF(AND(IFERROR(FIND(Planned!$B$3,B146,1),0),$E146&lt;=Planned!$I$6, $E146&gt;=Planned!$H$6), "Yes","No")</f>
        <v>No</v>
      </c>
      <c r="K146" s="4">
        <f>F146*VLOOKUP($G146,Planned!$C$14:$E$16,3,FALSE)</f>
        <v>350</v>
      </c>
    </row>
    <row r="147" spans="1:11" hidden="1" x14ac:dyDescent="0.2">
      <c r="A147" s="27">
        <v>4041</v>
      </c>
      <c r="B147" s="27" t="s">
        <v>8</v>
      </c>
      <c r="C147" s="27" t="s">
        <v>19</v>
      </c>
      <c r="D147" s="27" t="s">
        <v>11</v>
      </c>
      <c r="E147" s="28">
        <v>46116</v>
      </c>
      <c r="F147" s="27">
        <v>3</v>
      </c>
      <c r="G147" s="27" t="s">
        <v>18</v>
      </c>
      <c r="I147" s="4" t="str">
        <f t="shared" si="2"/>
        <v>Mobile App</v>
      </c>
      <c r="J147" s="4" t="str">
        <f>IF(AND(IFERROR(FIND(Planned!$B$3,B147,1),0),$E147&lt;=Planned!$I$6, $E147&gt;=Planned!$H$6), "Yes","No")</f>
        <v>No</v>
      </c>
      <c r="K147" s="4">
        <f>F147*VLOOKUP($G147,Planned!$C$14:$E$16,3,FALSE)</f>
        <v>150</v>
      </c>
    </row>
    <row r="148" spans="1:11" hidden="1" x14ac:dyDescent="0.2">
      <c r="A148" s="27">
        <v>4041</v>
      </c>
      <c r="B148" s="27" t="s">
        <v>8</v>
      </c>
      <c r="C148" s="27" t="s">
        <v>19</v>
      </c>
      <c r="D148" s="27" t="s">
        <v>11</v>
      </c>
      <c r="E148" s="28">
        <v>46117</v>
      </c>
      <c r="F148" s="27">
        <v>3</v>
      </c>
      <c r="G148" s="27" t="s">
        <v>10</v>
      </c>
      <c r="I148" s="4" t="str">
        <f t="shared" si="2"/>
        <v>Mobile App</v>
      </c>
      <c r="J148" s="4" t="str">
        <f>IF(AND(IFERROR(FIND(Planned!$B$3,B148,1),0),$E148&lt;=Planned!$I$6, $E148&gt;=Planned!$H$6), "Yes","No")</f>
        <v>No</v>
      </c>
      <c r="K148" s="4">
        <f>F148*VLOOKUP($G148,Planned!$C$14:$E$16,3,FALSE)</f>
        <v>150</v>
      </c>
    </row>
    <row r="149" spans="1:11" hidden="1" x14ac:dyDescent="0.2">
      <c r="A149" s="27">
        <v>4041</v>
      </c>
      <c r="B149" s="27" t="s">
        <v>8</v>
      </c>
      <c r="C149" s="27" t="s">
        <v>19</v>
      </c>
      <c r="D149" s="27" t="s">
        <v>11</v>
      </c>
      <c r="E149" s="28">
        <v>46118</v>
      </c>
      <c r="F149" s="27">
        <v>7</v>
      </c>
      <c r="G149" s="27" t="s">
        <v>10</v>
      </c>
      <c r="I149" s="4" t="str">
        <f t="shared" si="2"/>
        <v>Mobile App</v>
      </c>
      <c r="J149" s="4" t="str">
        <f>IF(AND(IFERROR(FIND(Planned!$B$3,B149,1),0),$E149&lt;=Planned!$I$6, $E149&gt;=Planned!$H$6), "Yes","No")</f>
        <v>No</v>
      </c>
      <c r="K149" s="4">
        <f>F149*VLOOKUP($G149,Planned!$C$14:$E$16,3,FALSE)</f>
        <v>350</v>
      </c>
    </row>
    <row r="150" spans="1:11" hidden="1" x14ac:dyDescent="0.2">
      <c r="A150" s="27">
        <v>4041</v>
      </c>
      <c r="B150" s="27" t="s">
        <v>8</v>
      </c>
      <c r="C150" s="27" t="s">
        <v>19</v>
      </c>
      <c r="D150" s="27" t="s">
        <v>11</v>
      </c>
      <c r="E150" s="28">
        <v>46119</v>
      </c>
      <c r="F150" s="27">
        <v>6</v>
      </c>
      <c r="G150" s="27" t="s">
        <v>10</v>
      </c>
      <c r="I150" s="4" t="str">
        <f t="shared" si="2"/>
        <v>Mobile App</v>
      </c>
      <c r="J150" s="4" t="str">
        <f>IF(AND(IFERROR(FIND(Planned!$B$3,B150,1),0),$E150&lt;=Planned!$I$6, $E150&gt;=Planned!$H$6), "Yes","No")</f>
        <v>No</v>
      </c>
      <c r="K150" s="4">
        <f>F150*VLOOKUP($G150,Planned!$C$14:$E$16,3,FALSE)</f>
        <v>300</v>
      </c>
    </row>
    <row r="151" spans="1:11" hidden="1" x14ac:dyDescent="0.2">
      <c r="A151" s="27">
        <v>4041</v>
      </c>
      <c r="B151" s="27" t="s">
        <v>8</v>
      </c>
      <c r="C151" s="27" t="s">
        <v>19</v>
      </c>
      <c r="D151" s="27" t="s">
        <v>11</v>
      </c>
      <c r="E151" s="28">
        <v>46120</v>
      </c>
      <c r="F151" s="27">
        <v>7</v>
      </c>
      <c r="G151" s="27" t="s">
        <v>10</v>
      </c>
      <c r="I151" s="4" t="str">
        <f t="shared" si="2"/>
        <v>Mobile App</v>
      </c>
      <c r="J151" s="4" t="str">
        <f>IF(AND(IFERROR(FIND(Planned!$B$3,B151,1),0),$E151&lt;=Planned!$I$6, $E151&gt;=Planned!$H$6), "Yes","No")</f>
        <v>No</v>
      </c>
      <c r="K151" s="4">
        <f>F151*VLOOKUP($G151,Planned!$C$14:$E$16,3,FALSE)</f>
        <v>350</v>
      </c>
    </row>
    <row r="152" spans="1:11" x14ac:dyDescent="0.2">
      <c r="A152" s="27">
        <v>4041</v>
      </c>
      <c r="B152" s="27" t="s">
        <v>8</v>
      </c>
      <c r="C152" s="27" t="s">
        <v>19</v>
      </c>
      <c r="E152" s="28">
        <v>46024</v>
      </c>
      <c r="F152" s="27">
        <v>6</v>
      </c>
      <c r="G152" s="27" t="s">
        <v>10</v>
      </c>
      <c r="H152" s="27" t="s">
        <v>11</v>
      </c>
      <c r="I152" s="4" t="str">
        <f t="shared" si="2"/>
        <v>Mobile App</v>
      </c>
      <c r="J152" s="4" t="str">
        <f>IF(AND(IFERROR(FIND(Planned!$B$3,B152,1),0),$E152&lt;=Planned!$I$6, $E152&gt;=Planned!$H$6), "Yes","No")</f>
        <v>Yes</v>
      </c>
      <c r="K152" s="4">
        <f>F152*VLOOKUP($G152,Planned!$C$14:$E$16,3,FALSE)</f>
        <v>300</v>
      </c>
    </row>
    <row r="153" spans="1:11" x14ac:dyDescent="0.2">
      <c r="A153" s="27">
        <v>4041</v>
      </c>
      <c r="B153" s="27" t="s">
        <v>8</v>
      </c>
      <c r="C153" s="27" t="s">
        <v>19</v>
      </c>
      <c r="E153" s="28">
        <v>46025</v>
      </c>
      <c r="F153" s="27">
        <v>4</v>
      </c>
      <c r="G153" s="27" t="s">
        <v>10</v>
      </c>
      <c r="H153" s="27" t="s">
        <v>11</v>
      </c>
      <c r="I153" s="4" t="str">
        <f t="shared" si="2"/>
        <v>Mobile App</v>
      </c>
      <c r="J153" s="4" t="str">
        <f>IF(AND(IFERROR(FIND(Planned!$B$3,B153,1),0),$E153&lt;=Planned!$I$6, $E153&gt;=Planned!$H$6), "Yes","No")</f>
        <v>Yes</v>
      </c>
      <c r="K153" s="4">
        <f>F153*VLOOKUP($G153,Planned!$C$14:$E$16,3,FALSE)</f>
        <v>200</v>
      </c>
    </row>
    <row r="154" spans="1:11" x14ac:dyDescent="0.2">
      <c r="A154" s="27">
        <v>4041</v>
      </c>
      <c r="B154" s="27" t="s">
        <v>8</v>
      </c>
      <c r="C154" s="27" t="s">
        <v>19</v>
      </c>
      <c r="E154" s="28">
        <v>46026</v>
      </c>
      <c r="F154" s="27">
        <v>4</v>
      </c>
      <c r="G154" s="27" t="s">
        <v>10</v>
      </c>
      <c r="H154" s="27" t="s">
        <v>11</v>
      </c>
      <c r="I154" s="4" t="str">
        <f t="shared" si="2"/>
        <v>Mobile App</v>
      </c>
      <c r="J154" s="4" t="str">
        <f>IF(AND(IFERROR(FIND(Planned!$B$3,B154,1),0),$E154&lt;=Planned!$I$6, $E154&gt;=Planned!$H$6), "Yes","No")</f>
        <v>Yes</v>
      </c>
      <c r="K154" s="4">
        <f>F154*VLOOKUP($G154,Planned!$C$14:$E$16,3,FALSE)</f>
        <v>200</v>
      </c>
    </row>
    <row r="155" spans="1:11" x14ac:dyDescent="0.2">
      <c r="A155" s="27">
        <v>4041</v>
      </c>
      <c r="B155" s="27" t="s">
        <v>8</v>
      </c>
      <c r="C155" s="27" t="s">
        <v>19</v>
      </c>
      <c r="E155" s="28">
        <v>46027</v>
      </c>
      <c r="F155" s="27">
        <v>6</v>
      </c>
      <c r="G155" s="27" t="s">
        <v>10</v>
      </c>
      <c r="H155" s="27" t="s">
        <v>11</v>
      </c>
      <c r="I155" s="4" t="str">
        <f t="shared" si="2"/>
        <v>Mobile App</v>
      </c>
      <c r="J155" s="4" t="str">
        <f>IF(AND(IFERROR(FIND(Planned!$B$3,B155,1),0),$E155&lt;=Planned!$I$6, $E155&gt;=Planned!$H$6), "Yes","No")</f>
        <v>Yes</v>
      </c>
      <c r="K155" s="4">
        <f>F155*VLOOKUP($G155,Planned!$C$14:$E$16,3,FALSE)</f>
        <v>300</v>
      </c>
    </row>
    <row r="156" spans="1:11" x14ac:dyDescent="0.2">
      <c r="A156" s="27">
        <v>4041</v>
      </c>
      <c r="B156" s="27" t="s">
        <v>8</v>
      </c>
      <c r="C156" s="27" t="s">
        <v>19</v>
      </c>
      <c r="E156" s="28">
        <v>46028</v>
      </c>
      <c r="F156" s="27">
        <v>7</v>
      </c>
      <c r="G156" s="27" t="s">
        <v>10</v>
      </c>
      <c r="H156" s="27" t="s">
        <v>11</v>
      </c>
      <c r="I156" s="4" t="str">
        <f t="shared" si="2"/>
        <v>Mobile App</v>
      </c>
      <c r="J156" s="4" t="str">
        <f>IF(AND(IFERROR(FIND(Planned!$B$3,B156,1),0),$E156&lt;=Planned!$I$6, $E156&gt;=Planned!$H$6), "Yes","No")</f>
        <v>Yes</v>
      </c>
      <c r="K156" s="4">
        <f>F156*VLOOKUP($G156,Planned!$C$14:$E$16,3,FALSE)</f>
        <v>350</v>
      </c>
    </row>
    <row r="157" spans="1:11" x14ac:dyDescent="0.2">
      <c r="A157" s="27">
        <v>4041</v>
      </c>
      <c r="B157" s="27" t="s">
        <v>8</v>
      </c>
      <c r="C157" s="27" t="s">
        <v>19</v>
      </c>
      <c r="E157" s="28">
        <v>46029</v>
      </c>
      <c r="F157" s="27">
        <v>6</v>
      </c>
      <c r="G157" s="27" t="s">
        <v>10</v>
      </c>
      <c r="H157" s="27" t="s">
        <v>11</v>
      </c>
      <c r="I157" s="4" t="str">
        <f t="shared" si="2"/>
        <v>Mobile App</v>
      </c>
      <c r="J157" s="4" t="str">
        <f>IF(AND(IFERROR(FIND(Planned!$B$3,B157,1),0),$E157&lt;=Planned!$I$6, $E157&gt;=Planned!$H$6), "Yes","No")</f>
        <v>Yes</v>
      </c>
      <c r="K157" s="4">
        <f>F157*VLOOKUP($G157,Planned!$C$14:$E$16,3,FALSE)</f>
        <v>300</v>
      </c>
    </row>
    <row r="158" spans="1:11" x14ac:dyDescent="0.2">
      <c r="A158" s="27">
        <v>4041</v>
      </c>
      <c r="B158" s="27" t="s">
        <v>8</v>
      </c>
      <c r="C158" s="27" t="s">
        <v>19</v>
      </c>
      <c r="E158" s="28">
        <v>46030</v>
      </c>
      <c r="F158" s="27">
        <v>4</v>
      </c>
      <c r="G158" s="27" t="s">
        <v>10</v>
      </c>
      <c r="H158" s="27" t="s">
        <v>11</v>
      </c>
      <c r="I158" s="4" t="str">
        <f t="shared" si="2"/>
        <v>Mobile App</v>
      </c>
      <c r="J158" s="4" t="str">
        <f>IF(AND(IFERROR(FIND(Planned!$B$3,B158,1),0),$E158&lt;=Planned!$I$6, $E158&gt;=Planned!$H$6), "Yes","No")</f>
        <v>Yes</v>
      </c>
      <c r="K158" s="4">
        <f>F158*VLOOKUP($G158,Planned!$C$14:$E$16,3,FALSE)</f>
        <v>200</v>
      </c>
    </row>
    <row r="159" spans="1:11" x14ac:dyDescent="0.2">
      <c r="A159" s="27">
        <v>4041</v>
      </c>
      <c r="B159" s="27" t="s">
        <v>8</v>
      </c>
      <c r="C159" s="27" t="s">
        <v>19</v>
      </c>
      <c r="E159" s="28">
        <v>46031</v>
      </c>
      <c r="F159" s="27">
        <v>1</v>
      </c>
      <c r="G159" s="27" t="s">
        <v>10</v>
      </c>
      <c r="H159" s="27" t="s">
        <v>11</v>
      </c>
      <c r="I159" s="4" t="str">
        <f t="shared" si="2"/>
        <v>Mobile App</v>
      </c>
      <c r="J159" s="4" t="str">
        <f>IF(AND(IFERROR(FIND(Planned!$B$3,B159,1),0),$E159&lt;=Planned!$I$6, $E159&gt;=Planned!$H$6), "Yes","No")</f>
        <v>Yes</v>
      </c>
      <c r="K159" s="4">
        <f>F159*VLOOKUP($G159,Planned!$C$14:$E$16,3,FALSE)</f>
        <v>50</v>
      </c>
    </row>
    <row r="160" spans="1:11" x14ac:dyDescent="0.2">
      <c r="A160" s="27">
        <v>4041</v>
      </c>
      <c r="B160" s="27" t="s">
        <v>8</v>
      </c>
      <c r="C160" s="27" t="s">
        <v>19</v>
      </c>
      <c r="E160" s="28">
        <v>46032</v>
      </c>
      <c r="F160" s="27">
        <v>4</v>
      </c>
      <c r="G160" s="27" t="s">
        <v>10</v>
      </c>
      <c r="H160" s="27" t="s">
        <v>11</v>
      </c>
      <c r="I160" s="4" t="str">
        <f t="shared" si="2"/>
        <v>Mobile App</v>
      </c>
      <c r="J160" s="4" t="str">
        <f>IF(AND(IFERROR(FIND(Planned!$B$3,B160,1),0),$E160&lt;=Planned!$I$6, $E160&gt;=Planned!$H$6), "Yes","No")</f>
        <v>Yes</v>
      </c>
      <c r="K160" s="4">
        <f>F160*VLOOKUP($G160,Planned!$C$14:$E$16,3,FALSE)</f>
        <v>200</v>
      </c>
    </row>
    <row r="161" spans="1:11" x14ac:dyDescent="0.2">
      <c r="A161" s="27">
        <v>4041</v>
      </c>
      <c r="B161" s="27" t="s">
        <v>8</v>
      </c>
      <c r="C161" s="27" t="s">
        <v>19</v>
      </c>
      <c r="E161" s="28">
        <v>46033</v>
      </c>
      <c r="F161" s="27">
        <v>4</v>
      </c>
      <c r="G161" s="27" t="s">
        <v>10</v>
      </c>
      <c r="H161" s="27" t="s">
        <v>11</v>
      </c>
      <c r="I161" s="4" t="str">
        <f t="shared" si="2"/>
        <v>Mobile App</v>
      </c>
      <c r="J161" s="4" t="str">
        <f>IF(AND(IFERROR(FIND(Planned!$B$3,B161,1),0),$E161&lt;=Planned!$I$6, $E161&gt;=Planned!$H$6), "Yes","No")</f>
        <v>Yes</v>
      </c>
      <c r="K161" s="4">
        <f>F161*VLOOKUP($G161,Planned!$C$14:$E$16,3,FALSE)</f>
        <v>200</v>
      </c>
    </row>
    <row r="162" spans="1:11" x14ac:dyDescent="0.2">
      <c r="A162" s="27">
        <v>4041</v>
      </c>
      <c r="B162" s="27" t="s">
        <v>8</v>
      </c>
      <c r="C162" s="27" t="s">
        <v>19</v>
      </c>
      <c r="E162" s="28">
        <v>46034</v>
      </c>
      <c r="F162" s="27">
        <v>7</v>
      </c>
      <c r="G162" s="27" t="s">
        <v>10</v>
      </c>
      <c r="H162" s="27" t="s">
        <v>14</v>
      </c>
      <c r="I162" s="4" t="str">
        <f t="shared" si="2"/>
        <v>Reports</v>
      </c>
      <c r="J162" s="4" t="str">
        <f>IF(AND(IFERROR(FIND(Planned!$B$3,B162,1),0),$E162&lt;=Planned!$I$6, $E162&gt;=Planned!$H$6), "Yes","No")</f>
        <v>Yes</v>
      </c>
      <c r="K162" s="4">
        <f>F162*VLOOKUP($G162,Planned!$C$14:$E$16,3,FALSE)</f>
        <v>350</v>
      </c>
    </row>
    <row r="163" spans="1:11" x14ac:dyDescent="0.2">
      <c r="A163" s="27">
        <v>4041</v>
      </c>
      <c r="B163" s="27" t="s">
        <v>8</v>
      </c>
      <c r="C163" s="27" t="s">
        <v>19</v>
      </c>
      <c r="E163" s="28">
        <v>46035</v>
      </c>
      <c r="F163" s="27">
        <v>7</v>
      </c>
      <c r="G163" s="27" t="s">
        <v>10</v>
      </c>
      <c r="H163" s="27" t="s">
        <v>14</v>
      </c>
      <c r="I163" s="4" t="str">
        <f t="shared" si="2"/>
        <v>Reports</v>
      </c>
      <c r="J163" s="4" t="str">
        <f>IF(AND(IFERROR(FIND(Planned!$B$3,B163,1),0),$E163&lt;=Planned!$I$6, $E163&gt;=Planned!$H$6), "Yes","No")</f>
        <v>Yes</v>
      </c>
      <c r="K163" s="4">
        <f>F163*VLOOKUP($G163,Planned!$C$14:$E$16,3,FALSE)</f>
        <v>350</v>
      </c>
    </row>
    <row r="164" spans="1:11" hidden="1" x14ac:dyDescent="0.2">
      <c r="A164" s="27">
        <v>4042</v>
      </c>
      <c r="B164" s="27" t="s">
        <v>15</v>
      </c>
      <c r="C164" s="27" t="s">
        <v>19</v>
      </c>
      <c r="E164" s="28">
        <v>46036</v>
      </c>
      <c r="F164" s="27">
        <v>6</v>
      </c>
      <c r="G164" s="27" t="s">
        <v>10</v>
      </c>
      <c r="H164" s="27" t="s">
        <v>16</v>
      </c>
      <c r="I164" s="4" t="str">
        <f t="shared" si="2"/>
        <v>Maintenance</v>
      </c>
      <c r="J164" s="4" t="str">
        <f>IF(AND(IFERROR(FIND(Planned!$B$3,B164,1),0),$E164&lt;=Planned!$I$6, $E164&gt;=Planned!$H$6), "Yes","No")</f>
        <v>No</v>
      </c>
      <c r="K164" s="4">
        <f>F164*VLOOKUP($G164,Planned!$C$14:$E$16,3,FALSE)</f>
        <v>300</v>
      </c>
    </row>
    <row r="165" spans="1:11" hidden="1" x14ac:dyDescent="0.2">
      <c r="A165" s="27">
        <v>4042</v>
      </c>
      <c r="B165" s="27" t="s">
        <v>15</v>
      </c>
      <c r="C165" s="27" t="s">
        <v>19</v>
      </c>
      <c r="E165" s="28">
        <v>46037</v>
      </c>
      <c r="F165" s="27">
        <v>4</v>
      </c>
      <c r="G165" s="27" t="s">
        <v>10</v>
      </c>
      <c r="H165" s="27" t="s">
        <v>16</v>
      </c>
      <c r="I165" s="4" t="str">
        <f t="shared" si="2"/>
        <v>Maintenance</v>
      </c>
      <c r="J165" s="4" t="str">
        <f>IF(AND(IFERROR(FIND(Planned!$B$3,B165,1),0),$E165&lt;=Planned!$I$6, $E165&gt;=Planned!$H$6), "Yes","No")</f>
        <v>No</v>
      </c>
      <c r="K165" s="4">
        <f>F165*VLOOKUP($G165,Planned!$C$14:$E$16,3,FALSE)</f>
        <v>200</v>
      </c>
    </row>
    <row r="166" spans="1:11" hidden="1" x14ac:dyDescent="0.2">
      <c r="A166" s="27">
        <v>4042</v>
      </c>
      <c r="B166" s="27" t="s">
        <v>15</v>
      </c>
      <c r="C166" s="27" t="s">
        <v>19</v>
      </c>
      <c r="E166" s="28">
        <v>46038</v>
      </c>
      <c r="F166" s="27">
        <v>4</v>
      </c>
      <c r="G166" s="27" t="s">
        <v>10</v>
      </c>
      <c r="H166" s="27" t="s">
        <v>16</v>
      </c>
      <c r="I166" s="4" t="str">
        <f t="shared" si="2"/>
        <v>Maintenance</v>
      </c>
      <c r="J166" s="4" t="str">
        <f>IF(AND(IFERROR(FIND(Planned!$B$3,B166,1),0),$E166&lt;=Planned!$I$6, $E166&gt;=Planned!$H$6), "Yes","No")</f>
        <v>No</v>
      </c>
      <c r="K166" s="4">
        <f>F166*VLOOKUP($G166,Planned!$C$14:$E$16,3,FALSE)</f>
        <v>200</v>
      </c>
    </row>
    <row r="167" spans="1:11" hidden="1" x14ac:dyDescent="0.2">
      <c r="A167" s="27">
        <v>4042</v>
      </c>
      <c r="B167" s="27" t="s">
        <v>15</v>
      </c>
      <c r="C167" s="27" t="s">
        <v>19</v>
      </c>
      <c r="E167" s="28">
        <v>46039</v>
      </c>
      <c r="F167" s="27">
        <v>7</v>
      </c>
      <c r="G167" s="27" t="s">
        <v>10</v>
      </c>
      <c r="H167" s="27" t="s">
        <v>16</v>
      </c>
      <c r="I167" s="4" t="str">
        <f t="shared" si="2"/>
        <v>Maintenance</v>
      </c>
      <c r="J167" s="4" t="str">
        <f>IF(AND(IFERROR(FIND(Planned!$B$3,B167,1),0),$E167&lt;=Planned!$I$6, $E167&gt;=Planned!$H$6), "Yes","No")</f>
        <v>No</v>
      </c>
      <c r="K167" s="4">
        <f>F167*VLOOKUP($G167,Planned!$C$14:$E$16,3,FALSE)</f>
        <v>350</v>
      </c>
    </row>
    <row r="168" spans="1:11" x14ac:dyDescent="0.2">
      <c r="A168" s="27">
        <v>4041</v>
      </c>
      <c r="B168" s="27" t="s">
        <v>8</v>
      </c>
      <c r="C168" s="27" t="s">
        <v>19</v>
      </c>
      <c r="E168" s="28">
        <v>46040</v>
      </c>
      <c r="F168" s="27">
        <v>4</v>
      </c>
      <c r="G168" s="27" t="s">
        <v>10</v>
      </c>
      <c r="H168" s="27" t="s">
        <v>11</v>
      </c>
      <c r="I168" s="4" t="str">
        <f t="shared" si="2"/>
        <v>Mobile App</v>
      </c>
      <c r="J168" s="4" t="str">
        <f>IF(AND(IFERROR(FIND(Planned!$B$3,B168,1),0),$E168&lt;=Planned!$I$6, $E168&gt;=Planned!$H$6), "Yes","No")</f>
        <v>Yes</v>
      </c>
      <c r="K168" s="4">
        <f>F168*VLOOKUP($G168,Planned!$C$14:$E$16,3,FALSE)</f>
        <v>200</v>
      </c>
    </row>
    <row r="169" spans="1:11" x14ac:dyDescent="0.2">
      <c r="A169" s="27">
        <v>4041</v>
      </c>
      <c r="B169" s="27" t="s">
        <v>8</v>
      </c>
      <c r="C169" s="27" t="s">
        <v>19</v>
      </c>
      <c r="E169" s="28">
        <v>46041</v>
      </c>
      <c r="F169" s="27">
        <v>7</v>
      </c>
      <c r="G169" s="27" t="s">
        <v>10</v>
      </c>
      <c r="H169" s="27" t="s">
        <v>11</v>
      </c>
      <c r="I169" s="4" t="str">
        <f t="shared" si="2"/>
        <v>Mobile App</v>
      </c>
      <c r="J169" s="4" t="str">
        <f>IF(AND(IFERROR(FIND(Planned!$B$3,B169,1),0),$E169&lt;=Planned!$I$6, $E169&gt;=Planned!$H$6), "Yes","No")</f>
        <v>Yes</v>
      </c>
      <c r="K169" s="4">
        <f>F169*VLOOKUP($G169,Planned!$C$14:$E$16,3,FALSE)</f>
        <v>350</v>
      </c>
    </row>
    <row r="170" spans="1:11" x14ac:dyDescent="0.2">
      <c r="A170" s="27">
        <v>4041</v>
      </c>
      <c r="B170" s="27" t="s">
        <v>8</v>
      </c>
      <c r="C170" s="27" t="s">
        <v>19</v>
      </c>
      <c r="E170" s="28">
        <v>46042</v>
      </c>
      <c r="F170" s="27">
        <v>4</v>
      </c>
      <c r="G170" s="27" t="s">
        <v>10</v>
      </c>
      <c r="H170" s="27" t="s">
        <v>11</v>
      </c>
      <c r="I170" s="4" t="str">
        <f t="shared" si="2"/>
        <v>Mobile App</v>
      </c>
      <c r="J170" s="4" t="str">
        <f>IF(AND(IFERROR(FIND(Planned!$B$3,B170,1),0),$E170&lt;=Planned!$I$6, $E170&gt;=Planned!$H$6), "Yes","No")</f>
        <v>Yes</v>
      </c>
      <c r="K170" s="4">
        <f>F170*VLOOKUP($G170,Planned!$C$14:$E$16,3,FALSE)</f>
        <v>200</v>
      </c>
    </row>
    <row r="171" spans="1:11" x14ac:dyDescent="0.2">
      <c r="A171" s="27">
        <v>4041</v>
      </c>
      <c r="B171" s="27" t="s">
        <v>8</v>
      </c>
      <c r="C171" s="27" t="s">
        <v>19</v>
      </c>
      <c r="E171" s="28">
        <v>46043</v>
      </c>
      <c r="F171" s="27">
        <v>4</v>
      </c>
      <c r="G171" s="27" t="s">
        <v>10</v>
      </c>
      <c r="H171" s="27" t="s">
        <v>11</v>
      </c>
      <c r="I171" s="4" t="str">
        <f t="shared" si="2"/>
        <v>Mobile App</v>
      </c>
      <c r="J171" s="4" t="str">
        <f>IF(AND(IFERROR(FIND(Planned!$B$3,B171,1),0),$E171&lt;=Planned!$I$6, $E171&gt;=Planned!$H$6), "Yes","No")</f>
        <v>Yes</v>
      </c>
      <c r="K171" s="4">
        <f>F171*VLOOKUP($G171,Planned!$C$14:$E$16,3,FALSE)</f>
        <v>200</v>
      </c>
    </row>
    <row r="172" spans="1:11" x14ac:dyDescent="0.2">
      <c r="A172" s="27">
        <v>4041</v>
      </c>
      <c r="B172" s="27" t="s">
        <v>8</v>
      </c>
      <c r="C172" s="27" t="s">
        <v>19</v>
      </c>
      <c r="E172" s="28">
        <v>46044</v>
      </c>
      <c r="F172" s="27">
        <v>7</v>
      </c>
      <c r="G172" s="27" t="s">
        <v>10</v>
      </c>
      <c r="H172" s="27" t="s">
        <v>11</v>
      </c>
      <c r="I172" s="4" t="str">
        <f t="shared" si="2"/>
        <v>Mobile App</v>
      </c>
      <c r="J172" s="4" t="str">
        <f>IF(AND(IFERROR(FIND(Planned!$B$3,B172,1),0),$E172&lt;=Planned!$I$6, $E172&gt;=Planned!$H$6), "Yes","No")</f>
        <v>Yes</v>
      </c>
      <c r="K172" s="4">
        <f>F172*VLOOKUP($G172,Planned!$C$14:$E$16,3,FALSE)</f>
        <v>350</v>
      </c>
    </row>
    <row r="173" spans="1:11" x14ac:dyDescent="0.2">
      <c r="A173" s="27">
        <v>4041</v>
      </c>
      <c r="B173" s="27" t="s">
        <v>8</v>
      </c>
      <c r="C173" s="27" t="s">
        <v>19</v>
      </c>
      <c r="E173" s="28">
        <v>46045</v>
      </c>
      <c r="F173" s="27">
        <v>7</v>
      </c>
      <c r="G173" s="27" t="s">
        <v>10</v>
      </c>
      <c r="H173" s="27" t="s">
        <v>11</v>
      </c>
      <c r="I173" s="4" t="str">
        <f t="shared" si="2"/>
        <v>Mobile App</v>
      </c>
      <c r="J173" s="4" t="str">
        <f>IF(AND(IFERROR(FIND(Planned!$B$3,B173,1),0),$E173&lt;=Planned!$I$6, $E173&gt;=Planned!$H$6), "Yes","No")</f>
        <v>Yes</v>
      </c>
      <c r="K173" s="4">
        <f>F173*VLOOKUP($G173,Planned!$C$14:$E$16,3,FALSE)</f>
        <v>350</v>
      </c>
    </row>
    <row r="174" spans="1:11" x14ac:dyDescent="0.2">
      <c r="A174" s="27">
        <v>4041</v>
      </c>
      <c r="B174" s="27" t="s">
        <v>8</v>
      </c>
      <c r="C174" s="27" t="s">
        <v>19</v>
      </c>
      <c r="E174" s="28">
        <v>46046</v>
      </c>
      <c r="F174" s="27">
        <v>4</v>
      </c>
      <c r="G174" s="27" t="s">
        <v>10</v>
      </c>
      <c r="H174" s="27" t="s">
        <v>11</v>
      </c>
      <c r="I174" s="4" t="str">
        <f t="shared" si="2"/>
        <v>Mobile App</v>
      </c>
      <c r="J174" s="4" t="str">
        <f>IF(AND(IFERROR(FIND(Planned!$B$3,B174,1),0),$E174&lt;=Planned!$I$6, $E174&gt;=Planned!$H$6), "Yes","No")</f>
        <v>Yes</v>
      </c>
      <c r="K174" s="4">
        <f>F174*VLOOKUP($G174,Planned!$C$14:$E$16,3,FALSE)</f>
        <v>200</v>
      </c>
    </row>
    <row r="175" spans="1:11" x14ac:dyDescent="0.2">
      <c r="A175" s="27">
        <v>4041</v>
      </c>
      <c r="B175" s="27" t="s">
        <v>8</v>
      </c>
      <c r="C175" s="27" t="s">
        <v>19</v>
      </c>
      <c r="E175" s="28">
        <v>46047</v>
      </c>
      <c r="F175" s="27">
        <v>7</v>
      </c>
      <c r="G175" s="27" t="s">
        <v>10</v>
      </c>
      <c r="H175" s="27" t="s">
        <v>11</v>
      </c>
      <c r="I175" s="4" t="str">
        <f t="shared" si="2"/>
        <v>Mobile App</v>
      </c>
      <c r="J175" s="4" t="str">
        <f>IF(AND(IFERROR(FIND(Planned!$B$3,B175,1),0),$E175&lt;=Planned!$I$6, $E175&gt;=Planned!$H$6), "Yes","No")</f>
        <v>Yes</v>
      </c>
      <c r="K175" s="4">
        <f>F175*VLOOKUP($G175,Planned!$C$14:$E$16,3,FALSE)</f>
        <v>350</v>
      </c>
    </row>
    <row r="176" spans="1:11" x14ac:dyDescent="0.2">
      <c r="A176" s="27">
        <v>4041</v>
      </c>
      <c r="B176" s="27" t="s">
        <v>8</v>
      </c>
      <c r="C176" s="27" t="s">
        <v>19</v>
      </c>
      <c r="E176" s="28">
        <v>46048</v>
      </c>
      <c r="F176" s="27">
        <v>6</v>
      </c>
      <c r="G176" s="27" t="s">
        <v>10</v>
      </c>
      <c r="H176" s="27" t="s">
        <v>11</v>
      </c>
      <c r="I176" s="4" t="str">
        <f t="shared" si="2"/>
        <v>Mobile App</v>
      </c>
      <c r="J176" s="4" t="str">
        <f>IF(AND(IFERROR(FIND(Planned!$B$3,B176,1),0),$E176&lt;=Planned!$I$6, $E176&gt;=Planned!$H$6), "Yes","No")</f>
        <v>Yes</v>
      </c>
      <c r="K176" s="4">
        <f>F176*VLOOKUP($G176,Planned!$C$14:$E$16,3,FALSE)</f>
        <v>300</v>
      </c>
    </row>
    <row r="177" spans="1:11" x14ac:dyDescent="0.2">
      <c r="A177" s="27">
        <v>4041</v>
      </c>
      <c r="B177" s="27" t="s">
        <v>8</v>
      </c>
      <c r="C177" s="27" t="s">
        <v>19</v>
      </c>
      <c r="E177" s="28">
        <v>46049</v>
      </c>
      <c r="F177" s="27">
        <v>7</v>
      </c>
      <c r="G177" s="27" t="s">
        <v>10</v>
      </c>
      <c r="H177" s="27" t="s">
        <v>11</v>
      </c>
      <c r="I177" s="4" t="str">
        <f t="shared" si="2"/>
        <v>Mobile App</v>
      </c>
      <c r="J177" s="4" t="str">
        <f>IF(AND(IFERROR(FIND(Planned!$B$3,B177,1),0),$E177&lt;=Planned!$I$6, $E177&gt;=Planned!$H$6), "Yes","No")</f>
        <v>Yes</v>
      </c>
      <c r="K177" s="4">
        <f>F177*VLOOKUP($G177,Planned!$C$14:$E$16,3,FALSE)</f>
        <v>350</v>
      </c>
    </row>
    <row r="178" spans="1:11" x14ac:dyDescent="0.2">
      <c r="A178" s="27">
        <v>4041</v>
      </c>
      <c r="B178" s="27" t="s">
        <v>8</v>
      </c>
      <c r="C178" s="27" t="s">
        <v>19</v>
      </c>
      <c r="E178" s="28">
        <v>46050</v>
      </c>
      <c r="F178" s="27">
        <v>6</v>
      </c>
      <c r="G178" s="27" t="s">
        <v>10</v>
      </c>
      <c r="H178" s="27" t="s">
        <v>11</v>
      </c>
      <c r="I178" s="4" t="str">
        <f t="shared" si="2"/>
        <v>Mobile App</v>
      </c>
      <c r="J178" s="4" t="str">
        <f>IF(AND(IFERROR(FIND(Planned!$B$3,B178,1),0),$E178&lt;=Planned!$I$6, $E178&gt;=Planned!$H$6), "Yes","No")</f>
        <v>Yes</v>
      </c>
      <c r="K178" s="4">
        <f>F178*VLOOKUP($G178,Planned!$C$14:$E$16,3,FALSE)</f>
        <v>300</v>
      </c>
    </row>
    <row r="179" spans="1:11" x14ac:dyDescent="0.2">
      <c r="A179" s="27">
        <v>4041</v>
      </c>
      <c r="B179" s="27" t="s">
        <v>8</v>
      </c>
      <c r="C179" s="27" t="s">
        <v>19</v>
      </c>
      <c r="E179" s="28">
        <v>46051</v>
      </c>
      <c r="F179" s="27">
        <v>4</v>
      </c>
      <c r="G179" s="27" t="s">
        <v>10</v>
      </c>
      <c r="H179" s="27" t="s">
        <v>11</v>
      </c>
      <c r="I179" s="4" t="str">
        <f t="shared" si="2"/>
        <v>Mobile App</v>
      </c>
      <c r="J179" s="4" t="str">
        <f>IF(AND(IFERROR(FIND(Planned!$B$3,B179,1),0),$E179&lt;=Planned!$I$6, $E179&gt;=Planned!$H$6), "Yes","No")</f>
        <v>Yes</v>
      </c>
      <c r="K179" s="4">
        <f>F179*VLOOKUP($G179,Planned!$C$14:$E$16,3,FALSE)</f>
        <v>200</v>
      </c>
    </row>
    <row r="180" spans="1:11" x14ac:dyDescent="0.2">
      <c r="A180" s="27">
        <v>4041</v>
      </c>
      <c r="B180" s="27" t="s">
        <v>8</v>
      </c>
      <c r="C180" s="27" t="s">
        <v>19</v>
      </c>
      <c r="E180" s="28">
        <v>46052</v>
      </c>
      <c r="F180" s="27">
        <v>4</v>
      </c>
      <c r="G180" s="27" t="s">
        <v>10</v>
      </c>
      <c r="H180" s="27" t="s">
        <v>11</v>
      </c>
      <c r="I180" s="4" t="str">
        <f t="shared" si="2"/>
        <v>Mobile App</v>
      </c>
      <c r="J180" s="4" t="str">
        <f>IF(AND(IFERROR(FIND(Planned!$B$3,B180,1),0),$E180&lt;=Planned!$I$6, $E180&gt;=Planned!$H$6), "Yes","No")</f>
        <v>Yes</v>
      </c>
      <c r="K180" s="4">
        <f>F180*VLOOKUP($G180,Planned!$C$14:$E$16,3,FALSE)</f>
        <v>200</v>
      </c>
    </row>
    <row r="181" spans="1:11" x14ac:dyDescent="0.2">
      <c r="A181" s="27">
        <v>4041</v>
      </c>
      <c r="B181" s="27" t="s">
        <v>8</v>
      </c>
      <c r="C181" s="27" t="s">
        <v>19</v>
      </c>
      <c r="E181" s="28">
        <v>46053</v>
      </c>
      <c r="F181" s="27">
        <v>7</v>
      </c>
      <c r="G181" s="27" t="s">
        <v>10</v>
      </c>
      <c r="H181" s="27" t="s">
        <v>11</v>
      </c>
      <c r="I181" s="4" t="str">
        <f t="shared" si="2"/>
        <v>Mobile App</v>
      </c>
      <c r="J181" s="4" t="str">
        <f>IF(AND(IFERROR(FIND(Planned!$B$3,B181,1),0),$E181&lt;=Planned!$I$6, $E181&gt;=Planned!$H$6), "Yes","No")</f>
        <v>Yes</v>
      </c>
      <c r="K181" s="4">
        <f>F181*VLOOKUP($G181,Planned!$C$14:$E$16,3,FALSE)</f>
        <v>350</v>
      </c>
    </row>
    <row r="182" spans="1:11" x14ac:dyDescent="0.2">
      <c r="A182" s="27">
        <v>4041</v>
      </c>
      <c r="B182" s="27" t="s">
        <v>8</v>
      </c>
      <c r="C182" s="27" t="s">
        <v>19</v>
      </c>
      <c r="E182" s="28">
        <v>46054</v>
      </c>
      <c r="F182" s="27">
        <v>7</v>
      </c>
      <c r="G182" s="27" t="s">
        <v>10</v>
      </c>
      <c r="H182" s="27" t="s">
        <v>11</v>
      </c>
      <c r="I182" s="4" t="str">
        <f t="shared" si="2"/>
        <v>Mobile App</v>
      </c>
      <c r="J182" s="4" t="str">
        <f>IF(AND(IFERROR(FIND(Planned!$B$3,B182,1),0),$E182&lt;=Planned!$I$6, $E182&gt;=Planned!$H$6), "Yes","No")</f>
        <v>Yes</v>
      </c>
      <c r="K182" s="4">
        <f>F182*VLOOKUP($G182,Planned!$C$14:$E$16,3,FALSE)</f>
        <v>350</v>
      </c>
    </row>
    <row r="183" spans="1:11" x14ac:dyDescent="0.2">
      <c r="A183" s="27">
        <v>4041</v>
      </c>
      <c r="B183" s="27" t="s">
        <v>8</v>
      </c>
      <c r="C183" s="27" t="s">
        <v>19</v>
      </c>
      <c r="E183" s="28">
        <v>46055</v>
      </c>
      <c r="F183" s="27">
        <v>4</v>
      </c>
      <c r="G183" s="27" t="s">
        <v>10</v>
      </c>
      <c r="H183" s="27" t="s">
        <v>11</v>
      </c>
      <c r="I183" s="4" t="str">
        <f t="shared" si="2"/>
        <v>Mobile App</v>
      </c>
      <c r="J183" s="4" t="str">
        <f>IF(AND(IFERROR(FIND(Planned!$B$3,B183,1),0),$E183&lt;=Planned!$I$6, $E183&gt;=Planned!$H$6), "Yes","No")</f>
        <v>Yes</v>
      </c>
      <c r="K183" s="4">
        <f>F183*VLOOKUP($G183,Planned!$C$14:$E$16,3,FALSE)</f>
        <v>200</v>
      </c>
    </row>
    <row r="184" spans="1:11" x14ac:dyDescent="0.2">
      <c r="A184" s="27">
        <v>4041</v>
      </c>
      <c r="B184" s="27" t="s">
        <v>8</v>
      </c>
      <c r="C184" s="27" t="s">
        <v>19</v>
      </c>
      <c r="E184" s="28">
        <v>46056</v>
      </c>
      <c r="F184" s="27">
        <v>4</v>
      </c>
      <c r="G184" s="27" t="s">
        <v>10</v>
      </c>
      <c r="H184" s="27" t="s">
        <v>11</v>
      </c>
      <c r="I184" s="4" t="str">
        <f t="shared" si="2"/>
        <v>Mobile App</v>
      </c>
      <c r="J184" s="4" t="str">
        <f>IF(AND(IFERROR(FIND(Planned!$B$3,B184,1),0),$E184&lt;=Planned!$I$6, $E184&gt;=Planned!$H$6), "Yes","No")</f>
        <v>Yes</v>
      </c>
      <c r="K184" s="4">
        <f>F184*VLOOKUP($G184,Planned!$C$14:$E$16,3,FALSE)</f>
        <v>200</v>
      </c>
    </row>
    <row r="185" spans="1:11" x14ac:dyDescent="0.2">
      <c r="A185" s="27">
        <v>4041</v>
      </c>
      <c r="B185" s="27" t="s">
        <v>8</v>
      </c>
      <c r="C185" s="27" t="s">
        <v>19</v>
      </c>
      <c r="E185" s="28">
        <v>46057</v>
      </c>
      <c r="F185" s="27">
        <v>6</v>
      </c>
      <c r="G185" s="27" t="s">
        <v>10</v>
      </c>
      <c r="H185" s="27" t="s">
        <v>11</v>
      </c>
      <c r="I185" s="4" t="str">
        <f t="shared" si="2"/>
        <v>Mobile App</v>
      </c>
      <c r="J185" s="4" t="str">
        <f>IF(AND(IFERROR(FIND(Planned!$B$3,B185,1),0),$E185&lt;=Planned!$I$6, $E185&gt;=Planned!$H$6), "Yes","No")</f>
        <v>Yes</v>
      </c>
      <c r="K185" s="4">
        <f>F185*VLOOKUP($G185,Planned!$C$14:$E$16,3,FALSE)</f>
        <v>300</v>
      </c>
    </row>
    <row r="186" spans="1:11" x14ac:dyDescent="0.2">
      <c r="A186" s="27">
        <v>4041</v>
      </c>
      <c r="B186" s="27" t="s">
        <v>8</v>
      </c>
      <c r="C186" s="27" t="s">
        <v>19</v>
      </c>
      <c r="E186" s="28">
        <v>46058</v>
      </c>
      <c r="F186" s="27">
        <v>7</v>
      </c>
      <c r="G186" s="27" t="s">
        <v>10</v>
      </c>
      <c r="H186" s="27" t="s">
        <v>11</v>
      </c>
      <c r="I186" s="4" t="str">
        <f t="shared" si="2"/>
        <v>Mobile App</v>
      </c>
      <c r="J186" s="4" t="str">
        <f>IF(AND(IFERROR(FIND(Planned!$B$3,B186,1),0),$E186&lt;=Planned!$I$6, $E186&gt;=Planned!$H$6), "Yes","No")</f>
        <v>Yes</v>
      </c>
      <c r="K186" s="4">
        <f>F186*VLOOKUP($G186,Planned!$C$14:$E$16,3,FALSE)</f>
        <v>350</v>
      </c>
    </row>
    <row r="187" spans="1:11" x14ac:dyDescent="0.2">
      <c r="A187" s="27">
        <v>4041</v>
      </c>
      <c r="B187" s="27" t="s">
        <v>8</v>
      </c>
      <c r="C187" s="27" t="s">
        <v>19</v>
      </c>
      <c r="E187" s="28">
        <v>46059</v>
      </c>
      <c r="F187" s="27">
        <v>4</v>
      </c>
      <c r="G187" s="27" t="s">
        <v>10</v>
      </c>
      <c r="H187" s="27" t="s">
        <v>11</v>
      </c>
      <c r="I187" s="4" t="str">
        <f t="shared" si="2"/>
        <v>Mobile App</v>
      </c>
      <c r="J187" s="4" t="str">
        <f>IF(AND(IFERROR(FIND(Planned!$B$3,B187,1),0),$E187&lt;=Planned!$I$6, $E187&gt;=Planned!$H$6), "Yes","No")</f>
        <v>Yes</v>
      </c>
      <c r="K187" s="4">
        <f>F187*VLOOKUP($G187,Planned!$C$14:$E$16,3,FALSE)</f>
        <v>200</v>
      </c>
    </row>
    <row r="188" spans="1:11" x14ac:dyDescent="0.2">
      <c r="A188" s="27">
        <v>4041</v>
      </c>
      <c r="B188" s="27" t="s">
        <v>8</v>
      </c>
      <c r="C188" s="27" t="s">
        <v>19</v>
      </c>
      <c r="E188" s="28">
        <v>46060</v>
      </c>
      <c r="F188" s="27">
        <v>1</v>
      </c>
      <c r="G188" s="27" t="s">
        <v>10</v>
      </c>
      <c r="H188" s="27" t="s">
        <v>11</v>
      </c>
      <c r="I188" s="4" t="str">
        <f t="shared" si="2"/>
        <v>Mobile App</v>
      </c>
      <c r="J188" s="4" t="str">
        <f>IF(AND(IFERROR(FIND(Planned!$B$3,B188,1),0),$E188&lt;=Planned!$I$6, $E188&gt;=Planned!$H$6), "Yes","No")</f>
        <v>Yes</v>
      </c>
      <c r="K188" s="4">
        <f>F188*VLOOKUP($G188,Planned!$C$14:$E$16,3,FALSE)</f>
        <v>50</v>
      </c>
    </row>
    <row r="189" spans="1:11" x14ac:dyDescent="0.2">
      <c r="A189" s="27">
        <v>4041</v>
      </c>
      <c r="B189" s="27" t="s">
        <v>8</v>
      </c>
      <c r="C189" s="27" t="s">
        <v>19</v>
      </c>
      <c r="E189" s="28">
        <v>46061</v>
      </c>
      <c r="F189" s="27">
        <v>6</v>
      </c>
      <c r="G189" s="27" t="s">
        <v>10</v>
      </c>
      <c r="H189" s="27" t="s">
        <v>14</v>
      </c>
      <c r="I189" s="4" t="str">
        <f t="shared" si="2"/>
        <v>Reports</v>
      </c>
      <c r="J189" s="4" t="str">
        <f>IF(AND(IFERROR(FIND(Planned!$B$3,B189,1),0),$E189&lt;=Planned!$I$6, $E189&gt;=Planned!$H$6), "Yes","No")</f>
        <v>Yes</v>
      </c>
      <c r="K189" s="4">
        <f>F189*VLOOKUP($G189,Planned!$C$14:$E$16,3,FALSE)</f>
        <v>300</v>
      </c>
    </row>
    <row r="190" spans="1:11" x14ac:dyDescent="0.2">
      <c r="A190" s="27">
        <v>4041</v>
      </c>
      <c r="B190" s="27" t="s">
        <v>8</v>
      </c>
      <c r="C190" s="27" t="s">
        <v>19</v>
      </c>
      <c r="E190" s="28">
        <v>46062</v>
      </c>
      <c r="F190" s="27">
        <v>4</v>
      </c>
      <c r="G190" s="27" t="s">
        <v>10</v>
      </c>
      <c r="H190" s="27" t="s">
        <v>14</v>
      </c>
      <c r="I190" s="4" t="str">
        <f t="shared" si="2"/>
        <v>Reports</v>
      </c>
      <c r="J190" s="4" t="str">
        <f>IF(AND(IFERROR(FIND(Planned!$B$3,B190,1),0),$E190&lt;=Planned!$I$6, $E190&gt;=Planned!$H$6), "Yes","No")</f>
        <v>Yes</v>
      </c>
      <c r="K190" s="4">
        <f>F190*VLOOKUP($G190,Planned!$C$14:$E$16,3,FALSE)</f>
        <v>200</v>
      </c>
    </row>
    <row r="191" spans="1:11" x14ac:dyDescent="0.2">
      <c r="A191" s="27">
        <v>4041</v>
      </c>
      <c r="B191" s="27" t="s">
        <v>8</v>
      </c>
      <c r="C191" s="27" t="s">
        <v>19</v>
      </c>
      <c r="E191" s="28">
        <v>46063</v>
      </c>
      <c r="F191" s="27">
        <v>4</v>
      </c>
      <c r="G191" s="27" t="s">
        <v>10</v>
      </c>
      <c r="H191" s="27" t="s">
        <v>14</v>
      </c>
      <c r="I191" s="4" t="str">
        <f t="shared" si="2"/>
        <v>Reports</v>
      </c>
      <c r="J191" s="4" t="str">
        <f>IF(AND(IFERROR(FIND(Planned!$B$3,B191,1),0),$E191&lt;=Planned!$I$6, $E191&gt;=Planned!$H$6), "Yes","No")</f>
        <v>Yes</v>
      </c>
      <c r="K191" s="4">
        <f>F191*VLOOKUP($G191,Planned!$C$14:$E$16,3,FALSE)</f>
        <v>200</v>
      </c>
    </row>
    <row r="192" spans="1:11" x14ac:dyDescent="0.2">
      <c r="A192" s="27">
        <v>4041</v>
      </c>
      <c r="B192" s="27" t="s">
        <v>8</v>
      </c>
      <c r="C192" s="27" t="s">
        <v>19</v>
      </c>
      <c r="E192" s="28">
        <v>46064</v>
      </c>
      <c r="F192" s="27">
        <v>7</v>
      </c>
      <c r="G192" s="27" t="s">
        <v>10</v>
      </c>
      <c r="H192" s="27" t="s">
        <v>14</v>
      </c>
      <c r="I192" s="4" t="str">
        <f t="shared" si="2"/>
        <v>Reports</v>
      </c>
      <c r="J192" s="4" t="str">
        <f>IF(AND(IFERROR(FIND(Planned!$B$3,B192,1),0),$E192&lt;=Planned!$I$6, $E192&gt;=Planned!$H$6), "Yes","No")</f>
        <v>Yes</v>
      </c>
      <c r="K192" s="4">
        <f>F192*VLOOKUP($G192,Planned!$C$14:$E$16,3,FALSE)</f>
        <v>350</v>
      </c>
    </row>
    <row r="193" spans="1:11" x14ac:dyDescent="0.2">
      <c r="A193" s="27">
        <v>4041</v>
      </c>
      <c r="B193" s="27" t="s">
        <v>8</v>
      </c>
      <c r="C193" s="27" t="s">
        <v>19</v>
      </c>
      <c r="E193" s="28">
        <v>46065</v>
      </c>
      <c r="F193" s="27">
        <v>3</v>
      </c>
      <c r="G193" s="27" t="s">
        <v>18</v>
      </c>
      <c r="H193" s="27" t="s">
        <v>14</v>
      </c>
      <c r="I193" s="4" t="str">
        <f t="shared" si="2"/>
        <v>Reports</v>
      </c>
      <c r="J193" s="4" t="str">
        <f>IF(AND(IFERROR(FIND(Planned!$B$3,B193,1),0),$E193&lt;=Planned!$I$6, $E193&gt;=Planned!$H$6), "Yes","No")</f>
        <v>Yes</v>
      </c>
      <c r="K193" s="4">
        <f>F193*VLOOKUP($G193,Planned!$C$14:$E$16,3,FALSE)</f>
        <v>150</v>
      </c>
    </row>
    <row r="194" spans="1:11" x14ac:dyDescent="0.2">
      <c r="A194" s="27">
        <v>4041</v>
      </c>
      <c r="B194" s="27" t="s">
        <v>8</v>
      </c>
      <c r="C194" s="27" t="s">
        <v>19</v>
      </c>
      <c r="E194" s="28">
        <v>46066</v>
      </c>
      <c r="F194" s="27">
        <v>4</v>
      </c>
      <c r="G194" s="27" t="s">
        <v>18</v>
      </c>
      <c r="H194" s="27" t="s">
        <v>11</v>
      </c>
      <c r="I194" s="4" t="str">
        <f t="shared" si="2"/>
        <v>Mobile App</v>
      </c>
      <c r="J194" s="4" t="str">
        <f>IF(AND(IFERROR(FIND(Planned!$B$3,B194,1),0),$E194&lt;=Planned!$I$6, $E194&gt;=Planned!$H$6), "Yes","No")</f>
        <v>Yes</v>
      </c>
      <c r="K194" s="4">
        <f>F194*VLOOKUP($G194,Planned!$C$14:$E$16,3,FALSE)</f>
        <v>200</v>
      </c>
    </row>
    <row r="195" spans="1:11" x14ac:dyDescent="0.2">
      <c r="A195" s="27">
        <v>4041</v>
      </c>
      <c r="B195" s="27" t="s">
        <v>8</v>
      </c>
      <c r="C195" s="27" t="s">
        <v>19</v>
      </c>
      <c r="E195" s="28">
        <v>46067</v>
      </c>
      <c r="F195" s="27">
        <v>4</v>
      </c>
      <c r="G195" s="27" t="s">
        <v>18</v>
      </c>
      <c r="H195" s="27" t="s">
        <v>11</v>
      </c>
      <c r="I195" s="4" t="str">
        <f t="shared" ref="I195:I252" si="3">$D195&amp;$H195</f>
        <v>Mobile App</v>
      </c>
      <c r="J195" s="4" t="str">
        <f>IF(AND(IFERROR(FIND(Planned!$B$3,B195,1),0),$E195&lt;=Planned!$I$6, $E195&gt;=Planned!$H$6), "Yes","No")</f>
        <v>Yes</v>
      </c>
      <c r="K195" s="4">
        <f>F195*VLOOKUP($G195,Planned!$C$14:$E$16,3,FALSE)</f>
        <v>200</v>
      </c>
    </row>
    <row r="196" spans="1:11" x14ac:dyDescent="0.2">
      <c r="A196" s="27">
        <v>4041</v>
      </c>
      <c r="B196" s="27" t="s">
        <v>8</v>
      </c>
      <c r="C196" s="27" t="s">
        <v>19</v>
      </c>
      <c r="E196" s="28">
        <v>46068</v>
      </c>
      <c r="F196" s="27">
        <v>4</v>
      </c>
      <c r="G196" s="27" t="s">
        <v>18</v>
      </c>
      <c r="H196" s="27" t="s">
        <v>11</v>
      </c>
      <c r="I196" s="4" t="str">
        <f t="shared" si="3"/>
        <v>Mobile App</v>
      </c>
      <c r="J196" s="4" t="str">
        <f>IF(AND(IFERROR(FIND(Planned!$B$3,B196,1),0),$E196&lt;=Planned!$I$6, $E196&gt;=Planned!$H$6), "Yes","No")</f>
        <v>Yes</v>
      </c>
      <c r="K196" s="4">
        <f>F196*VLOOKUP($G196,Planned!$C$14:$E$16,3,FALSE)</f>
        <v>200</v>
      </c>
    </row>
    <row r="197" spans="1:11" x14ac:dyDescent="0.2">
      <c r="A197" s="27">
        <v>4041</v>
      </c>
      <c r="B197" s="27" t="s">
        <v>8</v>
      </c>
      <c r="C197" s="27" t="s">
        <v>19</v>
      </c>
      <c r="E197" s="28">
        <v>46069</v>
      </c>
      <c r="F197" s="27">
        <v>4</v>
      </c>
      <c r="G197" s="27" t="s">
        <v>18</v>
      </c>
      <c r="H197" s="27" t="s">
        <v>11</v>
      </c>
      <c r="I197" s="4" t="str">
        <f t="shared" si="3"/>
        <v>Mobile App</v>
      </c>
      <c r="J197" s="4" t="str">
        <f>IF(AND(IFERROR(FIND(Planned!$B$3,B197,1),0),$E197&lt;=Planned!$I$6, $E197&gt;=Planned!$H$6), "Yes","No")</f>
        <v>Yes</v>
      </c>
      <c r="K197" s="4">
        <f>F197*VLOOKUP($G197,Planned!$C$14:$E$16,3,FALSE)</f>
        <v>200</v>
      </c>
    </row>
    <row r="198" spans="1:11" x14ac:dyDescent="0.2">
      <c r="A198" s="27">
        <v>4041</v>
      </c>
      <c r="B198" s="27" t="s">
        <v>8</v>
      </c>
      <c r="C198" s="27" t="s">
        <v>19</v>
      </c>
      <c r="E198" s="28">
        <v>46070</v>
      </c>
      <c r="F198" s="27">
        <v>4</v>
      </c>
      <c r="G198" s="27" t="s">
        <v>18</v>
      </c>
      <c r="H198" s="27" t="s">
        <v>12</v>
      </c>
      <c r="I198" s="4" t="str">
        <f t="shared" si="3"/>
        <v>Integration API</v>
      </c>
      <c r="J198" s="4" t="str">
        <f>IF(AND(IFERROR(FIND(Planned!$B$3,B198,1),0),$E198&lt;=Planned!$I$6, $E198&gt;=Planned!$H$6), "Yes","No")</f>
        <v>Yes</v>
      </c>
      <c r="K198" s="4">
        <f>F198*VLOOKUP($G198,Planned!$C$14:$E$16,3,FALSE)</f>
        <v>200</v>
      </c>
    </row>
    <row r="199" spans="1:11" x14ac:dyDescent="0.2">
      <c r="A199" s="27">
        <v>4041</v>
      </c>
      <c r="B199" s="27" t="s">
        <v>8</v>
      </c>
      <c r="C199" s="27" t="s">
        <v>19</v>
      </c>
      <c r="E199" s="28">
        <v>46071</v>
      </c>
      <c r="F199" s="27">
        <v>4</v>
      </c>
      <c r="G199" s="27" t="s">
        <v>18</v>
      </c>
      <c r="H199" s="27" t="s">
        <v>12</v>
      </c>
      <c r="I199" s="4" t="str">
        <f t="shared" si="3"/>
        <v>Integration API</v>
      </c>
      <c r="J199" s="4" t="str">
        <f>IF(AND(IFERROR(FIND(Planned!$B$3,B199,1),0),$E199&lt;=Planned!$I$6, $E199&gt;=Planned!$H$6), "Yes","No")</f>
        <v>Yes</v>
      </c>
      <c r="K199" s="4">
        <f>F199*VLOOKUP($G199,Planned!$C$14:$E$16,3,FALSE)</f>
        <v>200</v>
      </c>
    </row>
    <row r="200" spans="1:11" x14ac:dyDescent="0.2">
      <c r="A200" s="27">
        <v>4041</v>
      </c>
      <c r="B200" s="27" t="s">
        <v>8</v>
      </c>
      <c r="C200" s="27" t="s">
        <v>19</v>
      </c>
      <c r="E200" s="28">
        <v>46072</v>
      </c>
      <c r="F200" s="27">
        <v>4</v>
      </c>
      <c r="G200" s="27" t="s">
        <v>18</v>
      </c>
      <c r="H200" s="27" t="s">
        <v>12</v>
      </c>
      <c r="I200" s="4" t="str">
        <f t="shared" si="3"/>
        <v>Integration API</v>
      </c>
      <c r="J200" s="4" t="str">
        <f>IF(AND(IFERROR(FIND(Planned!$B$3,B200,1),0),$E200&lt;=Planned!$I$6, $E200&gt;=Planned!$H$6), "Yes","No")</f>
        <v>Yes</v>
      </c>
      <c r="K200" s="4">
        <f>F200*VLOOKUP($G200,Planned!$C$14:$E$16,3,FALSE)</f>
        <v>200</v>
      </c>
    </row>
    <row r="201" spans="1:11" x14ac:dyDescent="0.2">
      <c r="A201" s="27">
        <v>4041</v>
      </c>
      <c r="B201" s="27" t="s">
        <v>8</v>
      </c>
      <c r="C201" s="27" t="s">
        <v>9</v>
      </c>
      <c r="E201" s="28">
        <v>46073</v>
      </c>
      <c r="F201" s="27">
        <v>4</v>
      </c>
      <c r="G201" s="27" t="s">
        <v>18</v>
      </c>
      <c r="H201" s="27" t="s">
        <v>12</v>
      </c>
      <c r="I201" s="4" t="str">
        <f t="shared" si="3"/>
        <v>Integration API</v>
      </c>
      <c r="J201" s="4" t="str">
        <f>IF(AND(IFERROR(FIND(Planned!$B$3,B201,1),0),$E201&lt;=Planned!$I$6, $E201&gt;=Planned!$H$6), "Yes","No")</f>
        <v>Yes</v>
      </c>
      <c r="K201" s="4">
        <f>F201*VLOOKUP($G201,Planned!$C$14:$E$16,3,FALSE)</f>
        <v>200</v>
      </c>
    </row>
    <row r="202" spans="1:11" x14ac:dyDescent="0.2">
      <c r="A202" s="27">
        <v>4041</v>
      </c>
      <c r="B202" s="27" t="s">
        <v>8</v>
      </c>
      <c r="C202" s="27" t="s">
        <v>9</v>
      </c>
      <c r="E202" s="28">
        <v>46074</v>
      </c>
      <c r="F202" s="27">
        <v>4</v>
      </c>
      <c r="G202" s="27" t="s">
        <v>18</v>
      </c>
      <c r="H202" s="27" t="s">
        <v>12</v>
      </c>
      <c r="I202" s="4" t="str">
        <f t="shared" si="3"/>
        <v>Integration API</v>
      </c>
      <c r="J202" s="4" t="str">
        <f>IF(AND(IFERROR(FIND(Planned!$B$3,B202,1),0),$E202&lt;=Planned!$I$6, $E202&gt;=Planned!$H$6), "Yes","No")</f>
        <v>Yes</v>
      </c>
      <c r="K202" s="4">
        <f>F202*VLOOKUP($G202,Planned!$C$14:$E$16,3,FALSE)</f>
        <v>200</v>
      </c>
    </row>
    <row r="203" spans="1:11" x14ac:dyDescent="0.2">
      <c r="A203" s="27">
        <v>4041</v>
      </c>
      <c r="B203" s="27" t="s">
        <v>8</v>
      </c>
      <c r="C203" s="27" t="s">
        <v>9</v>
      </c>
      <c r="E203" s="28">
        <v>46075</v>
      </c>
      <c r="F203" s="27">
        <v>4</v>
      </c>
      <c r="G203" s="27" t="s">
        <v>18</v>
      </c>
      <c r="H203" s="27" t="s">
        <v>11</v>
      </c>
      <c r="I203" s="4" t="str">
        <f t="shared" si="3"/>
        <v>Mobile App</v>
      </c>
      <c r="J203" s="4" t="str">
        <f>IF(AND(IFERROR(FIND(Planned!$B$3,B203,1),0),$E203&lt;=Planned!$I$6, $E203&gt;=Planned!$H$6), "Yes","No")</f>
        <v>Yes</v>
      </c>
      <c r="K203" s="4">
        <f>F203*VLOOKUP($G203,Planned!$C$14:$E$16,3,FALSE)</f>
        <v>200</v>
      </c>
    </row>
    <row r="204" spans="1:11" x14ac:dyDescent="0.2">
      <c r="A204" s="27">
        <v>4041</v>
      </c>
      <c r="B204" s="27" t="s">
        <v>8</v>
      </c>
      <c r="C204" s="27" t="s">
        <v>9</v>
      </c>
      <c r="E204" s="28">
        <v>46076</v>
      </c>
      <c r="F204" s="27">
        <v>4</v>
      </c>
      <c r="G204" s="27" t="s">
        <v>18</v>
      </c>
      <c r="H204" s="27" t="s">
        <v>11</v>
      </c>
      <c r="I204" s="4" t="str">
        <f t="shared" si="3"/>
        <v>Mobile App</v>
      </c>
      <c r="J204" s="4" t="str">
        <f>IF(AND(IFERROR(FIND(Planned!$B$3,B204,1),0),$E204&lt;=Planned!$I$6, $E204&gt;=Planned!$H$6), "Yes","No")</f>
        <v>Yes</v>
      </c>
      <c r="K204" s="4">
        <f>F204*VLOOKUP($G204,Planned!$C$14:$E$16,3,FALSE)</f>
        <v>200</v>
      </c>
    </row>
    <row r="205" spans="1:11" x14ac:dyDescent="0.2">
      <c r="A205" s="27">
        <v>4041</v>
      </c>
      <c r="B205" s="27" t="s">
        <v>8</v>
      </c>
      <c r="C205" s="27" t="s">
        <v>9</v>
      </c>
      <c r="E205" s="28">
        <v>46077</v>
      </c>
      <c r="F205" s="27">
        <v>4</v>
      </c>
      <c r="G205" s="27" t="s">
        <v>18</v>
      </c>
      <c r="H205" s="27" t="s">
        <v>11</v>
      </c>
      <c r="I205" s="4" t="str">
        <f t="shared" si="3"/>
        <v>Mobile App</v>
      </c>
      <c r="J205" s="4" t="str">
        <f>IF(AND(IFERROR(FIND(Planned!$B$3,B205,1),0),$E205&lt;=Planned!$I$6, $E205&gt;=Planned!$H$6), "Yes","No")</f>
        <v>Yes</v>
      </c>
      <c r="K205" s="4">
        <f>F205*VLOOKUP($G205,Planned!$C$14:$E$16,3,FALSE)</f>
        <v>200</v>
      </c>
    </row>
    <row r="206" spans="1:11" x14ac:dyDescent="0.2">
      <c r="A206" s="27">
        <v>4041</v>
      </c>
      <c r="B206" s="27" t="s">
        <v>8</v>
      </c>
      <c r="C206" s="27" t="s">
        <v>9</v>
      </c>
      <c r="E206" s="28">
        <v>46078</v>
      </c>
      <c r="F206" s="27">
        <v>4</v>
      </c>
      <c r="G206" s="27" t="s">
        <v>18</v>
      </c>
      <c r="H206" s="27" t="s">
        <v>11</v>
      </c>
      <c r="I206" s="4" t="str">
        <f t="shared" si="3"/>
        <v>Mobile App</v>
      </c>
      <c r="J206" s="4" t="str">
        <f>IF(AND(IFERROR(FIND(Planned!$B$3,B206,1),0),$E206&lt;=Planned!$I$6, $E206&gt;=Planned!$H$6), "Yes","No")</f>
        <v>Yes</v>
      </c>
      <c r="K206" s="4">
        <f>F206*VLOOKUP($G206,Planned!$C$14:$E$16,3,FALSE)</f>
        <v>200</v>
      </c>
    </row>
    <row r="207" spans="1:11" x14ac:dyDescent="0.2">
      <c r="A207" s="27">
        <v>4041</v>
      </c>
      <c r="B207" s="27" t="s">
        <v>8</v>
      </c>
      <c r="C207" s="27" t="s">
        <v>9</v>
      </c>
      <c r="E207" s="28">
        <v>46079</v>
      </c>
      <c r="F207" s="27">
        <v>4</v>
      </c>
      <c r="G207" s="27" t="s">
        <v>10</v>
      </c>
      <c r="H207" s="27" t="s">
        <v>14</v>
      </c>
      <c r="I207" s="4" t="str">
        <f t="shared" si="3"/>
        <v>Reports</v>
      </c>
      <c r="J207" s="4" t="str">
        <f>IF(AND(IFERROR(FIND(Planned!$B$3,B207,1),0),$E207&lt;=Planned!$I$6, $E207&gt;=Planned!$H$6), "Yes","No")</f>
        <v>Yes</v>
      </c>
      <c r="K207" s="4">
        <f>F207*VLOOKUP($G207,Planned!$C$14:$E$16,3,FALSE)</f>
        <v>200</v>
      </c>
    </row>
    <row r="208" spans="1:11" x14ac:dyDescent="0.2">
      <c r="A208" s="27">
        <v>4041</v>
      </c>
      <c r="B208" s="27" t="s">
        <v>8</v>
      </c>
      <c r="C208" s="27" t="s">
        <v>9</v>
      </c>
      <c r="E208" s="28">
        <v>46080</v>
      </c>
      <c r="F208" s="27">
        <v>4</v>
      </c>
      <c r="G208" s="27" t="s">
        <v>10</v>
      </c>
      <c r="H208" s="27" t="s">
        <v>14</v>
      </c>
      <c r="I208" s="4" t="str">
        <f t="shared" si="3"/>
        <v>Reports</v>
      </c>
      <c r="J208" s="4" t="str">
        <f>IF(AND(IFERROR(FIND(Planned!$B$3,B208,1),0),$E208&lt;=Planned!$I$6, $E208&gt;=Planned!$H$6), "Yes","No")</f>
        <v>Yes</v>
      </c>
      <c r="K208" s="4">
        <f>F208*VLOOKUP($G208,Planned!$C$14:$E$16,3,FALSE)</f>
        <v>200</v>
      </c>
    </row>
    <row r="209" spans="1:11" x14ac:dyDescent="0.2">
      <c r="A209" s="27">
        <v>4041</v>
      </c>
      <c r="B209" s="27" t="s">
        <v>8</v>
      </c>
      <c r="C209" s="27" t="s">
        <v>9</v>
      </c>
      <c r="E209" s="28">
        <v>46081</v>
      </c>
      <c r="F209" s="27">
        <v>4</v>
      </c>
      <c r="G209" s="27" t="s">
        <v>10</v>
      </c>
      <c r="H209" s="27" t="s">
        <v>14</v>
      </c>
      <c r="I209" s="4" t="str">
        <f t="shared" si="3"/>
        <v>Reports</v>
      </c>
      <c r="J209" s="4" t="str">
        <f>IF(AND(IFERROR(FIND(Planned!$B$3,B209,1),0),$E209&lt;=Planned!$I$6, $E209&gt;=Planned!$H$6), "Yes","No")</f>
        <v>Yes</v>
      </c>
      <c r="K209" s="4">
        <f>F209*VLOOKUP($G209,Planned!$C$14:$E$16,3,FALSE)</f>
        <v>200</v>
      </c>
    </row>
    <row r="210" spans="1:11" x14ac:dyDescent="0.2">
      <c r="A210" s="27">
        <v>4041</v>
      </c>
      <c r="B210" s="27" t="s">
        <v>8</v>
      </c>
      <c r="C210" s="27" t="s">
        <v>9</v>
      </c>
      <c r="D210" s="27" t="s">
        <v>14</v>
      </c>
      <c r="E210" s="28">
        <v>46082</v>
      </c>
      <c r="F210" s="27">
        <v>4</v>
      </c>
      <c r="G210" s="27" t="s">
        <v>10</v>
      </c>
      <c r="I210" s="4" t="str">
        <f t="shared" si="3"/>
        <v>Reports</v>
      </c>
      <c r="J210" s="4" t="str">
        <f>IF(AND(IFERROR(FIND(Planned!$B$3,B210,1),0),$E210&lt;=Planned!$I$6, $E210&gt;=Planned!$H$6), "Yes","No")</f>
        <v>Yes</v>
      </c>
      <c r="K210" s="4">
        <f>F210*VLOOKUP($G210,Planned!$C$14:$E$16,3,FALSE)</f>
        <v>200</v>
      </c>
    </row>
    <row r="211" spans="1:11" x14ac:dyDescent="0.2">
      <c r="A211" s="27">
        <v>4041</v>
      </c>
      <c r="B211" s="27" t="s">
        <v>8</v>
      </c>
      <c r="C211" s="27" t="s">
        <v>9</v>
      </c>
      <c r="D211" s="27" t="s">
        <v>14</v>
      </c>
      <c r="E211" s="28">
        <v>46083</v>
      </c>
      <c r="F211" s="27">
        <v>5</v>
      </c>
      <c r="G211" s="27" t="s">
        <v>10</v>
      </c>
      <c r="I211" s="4" t="str">
        <f t="shared" si="3"/>
        <v>Reports</v>
      </c>
      <c r="J211" s="4" t="str">
        <f>IF(AND(IFERROR(FIND(Planned!$B$3,B211,1),0),$E211&lt;=Planned!$I$6, $E211&gt;=Planned!$H$6), "Yes","No")</f>
        <v>Yes</v>
      </c>
      <c r="K211" s="4">
        <f>F211*VLOOKUP($G211,Planned!$C$14:$E$16,3,FALSE)</f>
        <v>250</v>
      </c>
    </row>
    <row r="212" spans="1:11" x14ac:dyDescent="0.2">
      <c r="A212" s="27">
        <v>4041</v>
      </c>
      <c r="B212" s="27" t="s">
        <v>8</v>
      </c>
      <c r="C212" s="27" t="s">
        <v>9</v>
      </c>
      <c r="D212" s="27" t="s">
        <v>11</v>
      </c>
      <c r="E212" s="28">
        <v>46084</v>
      </c>
      <c r="F212" s="27">
        <v>4</v>
      </c>
      <c r="G212" s="27" t="s">
        <v>10</v>
      </c>
      <c r="I212" s="4" t="str">
        <f t="shared" si="3"/>
        <v>Mobile App</v>
      </c>
      <c r="J212" s="4" t="str">
        <f>IF(AND(IFERROR(FIND(Planned!$B$3,B212,1),0),$E212&lt;=Planned!$I$6, $E212&gt;=Planned!$H$6), "Yes","No")</f>
        <v>Yes</v>
      </c>
      <c r="K212" s="4">
        <f>F212*VLOOKUP($G212,Planned!$C$14:$E$16,3,FALSE)</f>
        <v>200</v>
      </c>
    </row>
    <row r="213" spans="1:11" x14ac:dyDescent="0.2">
      <c r="A213" s="27">
        <v>4041</v>
      </c>
      <c r="B213" s="27" t="s">
        <v>8</v>
      </c>
      <c r="C213" s="27" t="s">
        <v>9</v>
      </c>
      <c r="D213" s="27" t="s">
        <v>11</v>
      </c>
      <c r="E213" s="28">
        <v>46085</v>
      </c>
      <c r="F213" s="27">
        <v>4</v>
      </c>
      <c r="G213" s="27" t="s">
        <v>10</v>
      </c>
      <c r="I213" s="4" t="str">
        <f t="shared" si="3"/>
        <v>Mobile App</v>
      </c>
      <c r="J213" s="4" t="str">
        <f>IF(AND(IFERROR(FIND(Planned!$B$3,B213,1),0),$E213&lt;=Planned!$I$6, $E213&gt;=Planned!$H$6), "Yes","No")</f>
        <v>Yes</v>
      </c>
      <c r="K213" s="4">
        <f>F213*VLOOKUP($G213,Planned!$C$14:$E$16,3,FALSE)</f>
        <v>200</v>
      </c>
    </row>
    <row r="214" spans="1:11" x14ac:dyDescent="0.2">
      <c r="A214" s="27">
        <v>4041</v>
      </c>
      <c r="B214" s="27" t="s">
        <v>8</v>
      </c>
      <c r="C214" s="27" t="s">
        <v>9</v>
      </c>
      <c r="D214" s="27" t="s">
        <v>11</v>
      </c>
      <c r="E214" s="28">
        <v>46086</v>
      </c>
      <c r="F214" s="27">
        <v>4</v>
      </c>
      <c r="G214" s="27" t="s">
        <v>10</v>
      </c>
      <c r="I214" s="4" t="str">
        <f t="shared" si="3"/>
        <v>Mobile App</v>
      </c>
      <c r="J214" s="4" t="str">
        <f>IF(AND(IFERROR(FIND(Planned!$B$3,B214,1),0),$E214&lt;=Planned!$I$6, $E214&gt;=Planned!$H$6), "Yes","No")</f>
        <v>Yes</v>
      </c>
      <c r="K214" s="4">
        <f>F214*VLOOKUP($G214,Planned!$C$14:$E$16,3,FALSE)</f>
        <v>200</v>
      </c>
    </row>
    <row r="215" spans="1:11" x14ac:dyDescent="0.2">
      <c r="A215" s="27">
        <v>4041</v>
      </c>
      <c r="B215" s="27" t="s">
        <v>8</v>
      </c>
      <c r="C215" s="27" t="s">
        <v>9</v>
      </c>
      <c r="D215" s="27" t="s">
        <v>11</v>
      </c>
      <c r="E215" s="28">
        <v>46087</v>
      </c>
      <c r="F215" s="27">
        <v>4</v>
      </c>
      <c r="G215" s="27" t="s">
        <v>10</v>
      </c>
      <c r="I215" s="4" t="str">
        <f t="shared" si="3"/>
        <v>Mobile App</v>
      </c>
      <c r="J215" s="4" t="str">
        <f>IF(AND(IFERROR(FIND(Planned!$B$3,B215,1),0),$E215&lt;=Planned!$I$6, $E215&gt;=Planned!$H$6), "Yes","No")</f>
        <v>Yes</v>
      </c>
      <c r="K215" s="4">
        <f>F215*VLOOKUP($G215,Planned!$C$14:$E$16,3,FALSE)</f>
        <v>200</v>
      </c>
    </row>
    <row r="216" spans="1:11" x14ac:dyDescent="0.2">
      <c r="A216" s="27">
        <v>4041</v>
      </c>
      <c r="B216" s="27" t="s">
        <v>8</v>
      </c>
      <c r="C216" s="27" t="s">
        <v>9</v>
      </c>
      <c r="D216" s="27" t="s">
        <v>11</v>
      </c>
      <c r="E216" s="28">
        <v>46088</v>
      </c>
      <c r="F216" s="27">
        <v>4</v>
      </c>
      <c r="G216" s="27" t="s">
        <v>13</v>
      </c>
      <c r="I216" s="4" t="str">
        <f t="shared" si="3"/>
        <v>Mobile App</v>
      </c>
      <c r="J216" s="4" t="str">
        <f>IF(AND(IFERROR(FIND(Planned!$B$3,B216,1),0),$E216&lt;=Planned!$I$6, $E216&gt;=Planned!$H$6), "Yes","No")</f>
        <v>Yes</v>
      </c>
      <c r="K216" s="4">
        <f>F216*VLOOKUP($G216,Planned!$C$14:$E$16,3,FALSE)</f>
        <v>220</v>
      </c>
    </row>
    <row r="217" spans="1:11" x14ac:dyDescent="0.2">
      <c r="A217" s="27">
        <v>4041</v>
      </c>
      <c r="B217" s="27" t="s">
        <v>8</v>
      </c>
      <c r="C217" s="27" t="s">
        <v>9</v>
      </c>
      <c r="D217" s="27" t="s">
        <v>11</v>
      </c>
      <c r="E217" s="28">
        <v>46089</v>
      </c>
      <c r="F217" s="27">
        <v>6</v>
      </c>
      <c r="G217" s="27" t="s">
        <v>13</v>
      </c>
      <c r="I217" s="4" t="str">
        <f t="shared" si="3"/>
        <v>Mobile App</v>
      </c>
      <c r="J217" s="4" t="str">
        <f>IF(AND(IFERROR(FIND(Planned!$B$3,B217,1),0),$E217&lt;=Planned!$I$6, $E217&gt;=Planned!$H$6), "Yes","No")</f>
        <v>Yes</v>
      </c>
      <c r="K217" s="4">
        <f>F217*VLOOKUP($G217,Planned!$C$14:$E$16,3,FALSE)</f>
        <v>330</v>
      </c>
    </row>
    <row r="218" spans="1:11" x14ac:dyDescent="0.2">
      <c r="A218" s="27">
        <v>4041</v>
      </c>
      <c r="B218" s="27" t="s">
        <v>8</v>
      </c>
      <c r="C218" s="27" t="s">
        <v>9</v>
      </c>
      <c r="D218" s="27" t="s">
        <v>11</v>
      </c>
      <c r="E218" s="28">
        <v>46090</v>
      </c>
      <c r="F218" s="27">
        <v>6</v>
      </c>
      <c r="G218" s="27" t="s">
        <v>13</v>
      </c>
      <c r="I218" s="4" t="str">
        <f t="shared" si="3"/>
        <v>Mobile App</v>
      </c>
      <c r="J218" s="4" t="str">
        <f>IF(AND(IFERROR(FIND(Planned!$B$3,B218,1),0),$E218&lt;=Planned!$I$6, $E218&gt;=Planned!$H$6), "Yes","No")</f>
        <v>Yes</v>
      </c>
      <c r="K218" s="4">
        <f>F218*VLOOKUP($G218,Planned!$C$14:$E$16,3,FALSE)</f>
        <v>330</v>
      </c>
    </row>
    <row r="219" spans="1:11" x14ac:dyDescent="0.2">
      <c r="A219" s="27">
        <v>4041</v>
      </c>
      <c r="B219" s="27" t="s">
        <v>8</v>
      </c>
      <c r="C219" s="27" t="s">
        <v>9</v>
      </c>
      <c r="D219" s="27" t="s">
        <v>11</v>
      </c>
      <c r="E219" s="28">
        <v>46091</v>
      </c>
      <c r="F219" s="27">
        <v>6</v>
      </c>
      <c r="G219" s="27" t="s">
        <v>13</v>
      </c>
      <c r="I219" s="4" t="str">
        <f t="shared" si="3"/>
        <v>Mobile App</v>
      </c>
      <c r="J219" s="4" t="str">
        <f>IF(AND(IFERROR(FIND(Planned!$B$3,B219,1),0),$E219&lt;=Planned!$I$6, $E219&gt;=Planned!$H$6), "Yes","No")</f>
        <v>Yes</v>
      </c>
      <c r="K219" s="4">
        <f>F219*VLOOKUP($G219,Planned!$C$14:$E$16,3,FALSE)</f>
        <v>330</v>
      </c>
    </row>
    <row r="220" spans="1:11" x14ac:dyDescent="0.2">
      <c r="A220" s="27">
        <v>4041</v>
      </c>
      <c r="B220" s="27" t="s">
        <v>8</v>
      </c>
      <c r="C220" s="27" t="s">
        <v>9</v>
      </c>
      <c r="D220" s="27" t="s">
        <v>11</v>
      </c>
      <c r="E220" s="28">
        <v>46092</v>
      </c>
      <c r="F220" s="27">
        <v>6</v>
      </c>
      <c r="G220" s="27" t="s">
        <v>13</v>
      </c>
      <c r="I220" s="4" t="str">
        <f t="shared" si="3"/>
        <v>Mobile App</v>
      </c>
      <c r="J220" s="4" t="str">
        <f>IF(AND(IFERROR(FIND(Planned!$B$3,B220,1),0),$E220&lt;=Planned!$I$6, $E220&gt;=Planned!$H$6), "Yes","No")</f>
        <v>Yes</v>
      </c>
      <c r="K220" s="4">
        <f>F220*VLOOKUP($G220,Planned!$C$14:$E$16,3,FALSE)</f>
        <v>330</v>
      </c>
    </row>
    <row r="221" spans="1:11" x14ac:dyDescent="0.2">
      <c r="A221" s="27">
        <v>4041</v>
      </c>
      <c r="B221" s="27" t="s">
        <v>8</v>
      </c>
      <c r="C221" s="27" t="s">
        <v>9</v>
      </c>
      <c r="D221" s="27" t="s">
        <v>11</v>
      </c>
      <c r="E221" s="28">
        <v>46093</v>
      </c>
      <c r="F221" s="27">
        <v>6</v>
      </c>
      <c r="G221" s="27" t="s">
        <v>13</v>
      </c>
      <c r="I221" s="4" t="str">
        <f t="shared" si="3"/>
        <v>Mobile App</v>
      </c>
      <c r="J221" s="4" t="str">
        <f>IF(AND(IFERROR(FIND(Planned!$B$3,B221,1),0),$E221&lt;=Planned!$I$6, $E221&gt;=Planned!$H$6), "Yes","No")</f>
        <v>Yes</v>
      </c>
      <c r="K221" s="4">
        <f>F221*VLOOKUP($G221,Planned!$C$14:$E$16,3,FALSE)</f>
        <v>330</v>
      </c>
    </row>
    <row r="222" spans="1:11" x14ac:dyDescent="0.2">
      <c r="A222" s="27">
        <v>4041</v>
      </c>
      <c r="B222" s="27" t="s">
        <v>8</v>
      </c>
      <c r="C222" s="27" t="s">
        <v>9</v>
      </c>
      <c r="D222" s="27" t="s">
        <v>11</v>
      </c>
      <c r="E222" s="28">
        <v>46094</v>
      </c>
      <c r="F222" s="27">
        <v>4</v>
      </c>
      <c r="G222" s="27" t="s">
        <v>13</v>
      </c>
      <c r="I222" s="4" t="str">
        <f t="shared" si="3"/>
        <v>Mobile App</v>
      </c>
      <c r="J222" s="4" t="str">
        <f>IF(AND(IFERROR(FIND(Planned!$B$3,B222,1),0),$E222&lt;=Planned!$I$6, $E222&gt;=Planned!$H$6), "Yes","No")</f>
        <v>Yes</v>
      </c>
      <c r="K222" s="4">
        <f>F222*VLOOKUP($G222,Planned!$C$14:$E$16,3,FALSE)</f>
        <v>220</v>
      </c>
    </row>
    <row r="223" spans="1:11" hidden="1" x14ac:dyDescent="0.2">
      <c r="A223" s="27">
        <v>4042</v>
      </c>
      <c r="B223" s="27" t="s">
        <v>15</v>
      </c>
      <c r="C223" s="27" t="s">
        <v>9</v>
      </c>
      <c r="D223" s="27" t="s">
        <v>11</v>
      </c>
      <c r="E223" s="28">
        <v>46084</v>
      </c>
      <c r="F223" s="27">
        <v>8</v>
      </c>
      <c r="G223" s="27" t="s">
        <v>10</v>
      </c>
      <c r="I223" s="4" t="str">
        <f t="shared" si="3"/>
        <v>Mobile App</v>
      </c>
      <c r="J223" s="4" t="str">
        <f>IF(AND(IFERROR(FIND(Planned!$B$3,B223,1),0),$E223&lt;=Planned!$I$6, $E223&gt;=Planned!$H$6), "Yes","No")</f>
        <v>No</v>
      </c>
      <c r="K223" s="4">
        <f>F223*VLOOKUP($G223,Planned!$C$14:$E$16,3,FALSE)</f>
        <v>400</v>
      </c>
    </row>
    <row r="224" spans="1:11" hidden="1" x14ac:dyDescent="0.2">
      <c r="A224" s="27">
        <v>4042</v>
      </c>
      <c r="B224" s="27" t="s">
        <v>15</v>
      </c>
      <c r="C224" s="27" t="s">
        <v>17</v>
      </c>
      <c r="E224" s="28">
        <v>46032</v>
      </c>
      <c r="F224" s="27">
        <v>6</v>
      </c>
      <c r="G224" s="27" t="s">
        <v>13</v>
      </c>
      <c r="H224" s="27" t="s">
        <v>11</v>
      </c>
      <c r="I224" s="4" t="str">
        <f t="shared" si="3"/>
        <v>Mobile App</v>
      </c>
      <c r="J224" s="4" t="str">
        <f>IF(AND(IFERROR(FIND(Planned!$B$3,B224,1),0),$E224&lt;=Planned!$I$6, $E224&gt;=Planned!$H$6), "Yes","No")</f>
        <v>No</v>
      </c>
      <c r="K224" s="4">
        <f>F224*VLOOKUP($G224,Planned!$C$14:$E$16,3,FALSE)</f>
        <v>330</v>
      </c>
    </row>
    <row r="225" spans="1:11" hidden="1" x14ac:dyDescent="0.2">
      <c r="A225" s="27">
        <v>4042</v>
      </c>
      <c r="B225" s="27" t="s">
        <v>15</v>
      </c>
      <c r="C225" s="27" t="s">
        <v>17</v>
      </c>
      <c r="E225" s="28">
        <v>46033</v>
      </c>
      <c r="F225" s="27">
        <v>4</v>
      </c>
      <c r="G225" s="27" t="s">
        <v>13</v>
      </c>
      <c r="H225" s="27" t="s">
        <v>11</v>
      </c>
      <c r="I225" s="4" t="str">
        <f t="shared" si="3"/>
        <v>Mobile App</v>
      </c>
      <c r="J225" s="4" t="str">
        <f>IF(AND(IFERROR(FIND(Planned!$B$3,B225,1),0),$E225&lt;=Planned!$I$6, $E225&gt;=Planned!$H$6), "Yes","No")</f>
        <v>No</v>
      </c>
      <c r="K225" s="4">
        <f>F225*VLOOKUP($G225,Planned!$C$14:$E$16,3,FALSE)</f>
        <v>220</v>
      </c>
    </row>
    <row r="226" spans="1:11" hidden="1" x14ac:dyDescent="0.2">
      <c r="A226" s="27">
        <v>4042</v>
      </c>
      <c r="B226" s="27" t="s">
        <v>15</v>
      </c>
      <c r="C226" s="27" t="s">
        <v>17</v>
      </c>
      <c r="E226" s="28">
        <v>46034</v>
      </c>
      <c r="F226" s="27">
        <v>4</v>
      </c>
      <c r="G226" s="27" t="s">
        <v>13</v>
      </c>
      <c r="H226" s="27" t="s">
        <v>11</v>
      </c>
      <c r="I226" s="4" t="str">
        <f t="shared" si="3"/>
        <v>Mobile App</v>
      </c>
      <c r="J226" s="4" t="str">
        <f>IF(AND(IFERROR(FIND(Planned!$B$3,B226,1),0),$E226&lt;=Planned!$I$6, $E226&gt;=Planned!$H$6), "Yes","No")</f>
        <v>No</v>
      </c>
      <c r="K226" s="4">
        <f>F226*VLOOKUP($G226,Planned!$C$14:$E$16,3,FALSE)</f>
        <v>220</v>
      </c>
    </row>
    <row r="227" spans="1:11" hidden="1" x14ac:dyDescent="0.2">
      <c r="A227" s="27">
        <v>4042</v>
      </c>
      <c r="B227" s="27" t="s">
        <v>15</v>
      </c>
      <c r="C227" s="27" t="s">
        <v>17</v>
      </c>
      <c r="E227" s="28">
        <v>46048</v>
      </c>
      <c r="F227" s="27">
        <v>6</v>
      </c>
      <c r="G227" s="27" t="s">
        <v>10</v>
      </c>
      <c r="H227" s="27" t="s">
        <v>12</v>
      </c>
      <c r="I227" s="4" t="str">
        <f t="shared" si="3"/>
        <v>Integration API</v>
      </c>
      <c r="J227" s="4" t="str">
        <f>IF(AND(IFERROR(FIND(Planned!$B$3,B227,1),0),$E227&lt;=Planned!$I$6, $E227&gt;=Planned!$H$6), "Yes","No")</f>
        <v>No</v>
      </c>
      <c r="K227" s="4">
        <f>F227*VLOOKUP($G227,Planned!$C$14:$E$16,3,FALSE)</f>
        <v>300</v>
      </c>
    </row>
    <row r="228" spans="1:11" hidden="1" x14ac:dyDescent="0.2">
      <c r="A228" s="27">
        <v>4042</v>
      </c>
      <c r="B228" s="27" t="s">
        <v>15</v>
      </c>
      <c r="C228" s="27" t="s">
        <v>17</v>
      </c>
      <c r="E228" s="28">
        <v>46049</v>
      </c>
      <c r="F228" s="27">
        <v>6</v>
      </c>
      <c r="G228" s="27" t="s">
        <v>10</v>
      </c>
      <c r="H228" s="27" t="s">
        <v>12</v>
      </c>
      <c r="I228" s="4" t="str">
        <f t="shared" si="3"/>
        <v>Integration API</v>
      </c>
      <c r="J228" s="4" t="str">
        <f>IF(AND(IFERROR(FIND(Planned!$B$3,B228,1),0),$E228&lt;=Planned!$I$6, $E228&gt;=Planned!$H$6), "Yes","No")</f>
        <v>No</v>
      </c>
      <c r="K228" s="4">
        <f>F228*VLOOKUP($G228,Planned!$C$14:$E$16,3,FALSE)</f>
        <v>300</v>
      </c>
    </row>
    <row r="229" spans="1:11" hidden="1" x14ac:dyDescent="0.2">
      <c r="A229" s="27">
        <v>4042</v>
      </c>
      <c r="B229" s="27" t="s">
        <v>15</v>
      </c>
      <c r="C229" s="27" t="s">
        <v>17</v>
      </c>
      <c r="E229" s="28">
        <v>46066</v>
      </c>
      <c r="F229" s="27">
        <v>6</v>
      </c>
      <c r="G229" s="27" t="s">
        <v>13</v>
      </c>
      <c r="H229" s="27" t="s">
        <v>12</v>
      </c>
      <c r="I229" s="4" t="str">
        <f t="shared" si="3"/>
        <v>Integration API</v>
      </c>
      <c r="J229" s="4" t="str">
        <f>IF(AND(IFERROR(FIND(Planned!$B$3,B229,1),0),$E229&lt;=Planned!$I$6, $E229&gt;=Planned!$H$6), "Yes","No")</f>
        <v>No</v>
      </c>
      <c r="K229" s="4">
        <f>F229*VLOOKUP($G229,Planned!$C$14:$E$16,3,FALSE)</f>
        <v>330</v>
      </c>
    </row>
    <row r="230" spans="1:11" hidden="1" x14ac:dyDescent="0.2">
      <c r="A230" s="27">
        <v>4042</v>
      </c>
      <c r="B230" s="27" t="s">
        <v>15</v>
      </c>
      <c r="C230" s="27" t="s">
        <v>17</v>
      </c>
      <c r="E230" s="28">
        <v>46067</v>
      </c>
      <c r="F230" s="27">
        <v>3</v>
      </c>
      <c r="G230" s="27" t="s">
        <v>13</v>
      </c>
      <c r="H230" s="27" t="s">
        <v>16</v>
      </c>
      <c r="I230" s="4" t="str">
        <f t="shared" si="3"/>
        <v>Maintenance</v>
      </c>
      <c r="J230" s="4" t="str">
        <f>IF(AND(IFERROR(FIND(Planned!$B$3,B230,1),0),$E230&lt;=Planned!$I$6, $E230&gt;=Planned!$H$6), "Yes","No")</f>
        <v>No</v>
      </c>
      <c r="K230" s="4">
        <f>F230*VLOOKUP($G230,Planned!$C$14:$E$16,3,FALSE)</f>
        <v>165</v>
      </c>
    </row>
    <row r="231" spans="1:11" hidden="1" x14ac:dyDescent="0.2">
      <c r="A231" s="27">
        <v>4042</v>
      </c>
      <c r="B231" s="27" t="s">
        <v>15</v>
      </c>
      <c r="C231" s="27" t="s">
        <v>17</v>
      </c>
      <c r="E231" s="28">
        <v>46078</v>
      </c>
      <c r="F231" s="27">
        <v>2</v>
      </c>
      <c r="G231" s="27" t="s">
        <v>18</v>
      </c>
      <c r="H231" s="27" t="s">
        <v>16</v>
      </c>
      <c r="I231" s="4" t="str">
        <f t="shared" si="3"/>
        <v>Maintenance</v>
      </c>
      <c r="J231" s="4" t="str">
        <f>IF(AND(IFERROR(FIND(Planned!$B$3,B231,1),0),$E231&lt;=Planned!$I$6, $E231&gt;=Planned!$H$6), "Yes","No")</f>
        <v>No</v>
      </c>
      <c r="K231" s="4">
        <f>F231*VLOOKUP($G231,Planned!$C$14:$E$16,3,FALSE)</f>
        <v>100</v>
      </c>
    </row>
    <row r="232" spans="1:11" hidden="1" x14ac:dyDescent="0.2">
      <c r="A232" s="27">
        <v>4042</v>
      </c>
      <c r="B232" s="27" t="s">
        <v>15</v>
      </c>
      <c r="C232" s="27" t="s">
        <v>17</v>
      </c>
      <c r="E232" s="28">
        <v>46079</v>
      </c>
      <c r="F232" s="27">
        <v>6</v>
      </c>
      <c r="G232" s="27" t="s">
        <v>18</v>
      </c>
      <c r="H232" s="27" t="s">
        <v>16</v>
      </c>
      <c r="I232" s="4" t="str">
        <f t="shared" si="3"/>
        <v>Maintenance</v>
      </c>
      <c r="J232" s="4" t="str">
        <f>IF(AND(IFERROR(FIND(Planned!$B$3,B232,1),0),$E232&lt;=Planned!$I$6, $E232&gt;=Planned!$H$6), "Yes","No")</f>
        <v>No</v>
      </c>
      <c r="K232" s="4">
        <f>F232*VLOOKUP($G232,Planned!$C$14:$E$16,3,FALSE)</f>
        <v>300</v>
      </c>
    </row>
    <row r="233" spans="1:11" hidden="1" x14ac:dyDescent="0.2">
      <c r="A233" s="27">
        <v>4042</v>
      </c>
      <c r="B233" s="27" t="s">
        <v>15</v>
      </c>
      <c r="C233" s="27" t="s">
        <v>19</v>
      </c>
      <c r="D233" s="27" t="s">
        <v>12</v>
      </c>
      <c r="E233" s="28">
        <v>46093</v>
      </c>
      <c r="F233" s="27">
        <v>6</v>
      </c>
      <c r="G233" s="27" t="s">
        <v>18</v>
      </c>
      <c r="I233" s="4" t="str">
        <f t="shared" si="3"/>
        <v>Integration API</v>
      </c>
      <c r="J233" s="4" t="str">
        <f>IF(AND(IFERROR(FIND(Planned!$B$3,B233,1),0),$E233&lt;=Planned!$I$6, $E233&gt;=Planned!$H$6), "Yes","No")</f>
        <v>No</v>
      </c>
      <c r="K233" s="4">
        <f>F233*VLOOKUP($G233,Planned!$C$14:$E$16,3,FALSE)</f>
        <v>300</v>
      </c>
    </row>
    <row r="234" spans="1:11" hidden="1" x14ac:dyDescent="0.2">
      <c r="A234" s="27">
        <v>4042</v>
      </c>
      <c r="B234" s="27" t="s">
        <v>15</v>
      </c>
      <c r="C234" s="27" t="s">
        <v>19</v>
      </c>
      <c r="E234" s="28">
        <v>46036</v>
      </c>
      <c r="F234" s="27">
        <v>6</v>
      </c>
      <c r="G234" s="27" t="s">
        <v>10</v>
      </c>
      <c r="H234" s="27" t="s">
        <v>16</v>
      </c>
      <c r="I234" s="4" t="str">
        <f t="shared" si="3"/>
        <v>Maintenance</v>
      </c>
      <c r="J234" s="4" t="str">
        <f>IF(AND(IFERROR(FIND(Planned!$B$3,B234,1),0),$E234&lt;=Planned!$I$6, $E234&gt;=Planned!$H$6), "Yes","No")</f>
        <v>No</v>
      </c>
      <c r="K234" s="4">
        <f>F234*VLOOKUP($G234,Planned!$C$14:$E$16,3,FALSE)</f>
        <v>300</v>
      </c>
    </row>
    <row r="235" spans="1:11" hidden="1" x14ac:dyDescent="0.2">
      <c r="A235" s="27">
        <v>4042</v>
      </c>
      <c r="B235" s="27" t="s">
        <v>15</v>
      </c>
      <c r="C235" s="27" t="s">
        <v>19</v>
      </c>
      <c r="E235" s="28">
        <v>46037</v>
      </c>
      <c r="F235" s="27">
        <v>4</v>
      </c>
      <c r="G235" s="27" t="s">
        <v>10</v>
      </c>
      <c r="H235" s="27" t="s">
        <v>16</v>
      </c>
      <c r="I235" s="4" t="str">
        <f t="shared" si="3"/>
        <v>Maintenance</v>
      </c>
      <c r="J235" s="4" t="str">
        <f>IF(AND(IFERROR(FIND(Planned!$B$3,B235,1),0),$E235&lt;=Planned!$I$6, $E235&gt;=Planned!$H$6), "Yes","No")</f>
        <v>No</v>
      </c>
      <c r="K235" s="4">
        <f>F235*VLOOKUP($G235,Planned!$C$14:$E$16,3,FALSE)</f>
        <v>200</v>
      </c>
    </row>
    <row r="236" spans="1:11" hidden="1" x14ac:dyDescent="0.2">
      <c r="A236" s="27">
        <v>4042</v>
      </c>
      <c r="B236" s="27" t="s">
        <v>15</v>
      </c>
      <c r="C236" s="27" t="s">
        <v>19</v>
      </c>
      <c r="E236" s="28">
        <v>46038</v>
      </c>
      <c r="F236" s="27">
        <v>4</v>
      </c>
      <c r="G236" s="27" t="s">
        <v>10</v>
      </c>
      <c r="H236" s="27" t="s">
        <v>12</v>
      </c>
      <c r="I236" s="4" t="str">
        <f t="shared" si="3"/>
        <v>Integration API</v>
      </c>
      <c r="J236" s="4" t="str">
        <f>IF(AND(IFERROR(FIND(Planned!$B$3,B236,1),0),$E236&lt;=Planned!$I$6, $E236&gt;=Planned!$H$6), "Yes","No")</f>
        <v>No</v>
      </c>
      <c r="K236" s="4">
        <f>F236*VLOOKUP($G236,Planned!$C$14:$E$16,3,FALSE)</f>
        <v>200</v>
      </c>
    </row>
    <row r="237" spans="1:11" hidden="1" x14ac:dyDescent="0.2">
      <c r="A237" s="27">
        <v>4042</v>
      </c>
      <c r="B237" s="27" t="s">
        <v>15</v>
      </c>
      <c r="C237" s="27" t="s">
        <v>19</v>
      </c>
      <c r="E237" s="28">
        <v>46039</v>
      </c>
      <c r="F237" s="27">
        <v>7</v>
      </c>
      <c r="G237" s="27" t="s">
        <v>10</v>
      </c>
      <c r="H237" s="27" t="s">
        <v>12</v>
      </c>
      <c r="I237" s="4" t="str">
        <f t="shared" si="3"/>
        <v>Integration API</v>
      </c>
      <c r="J237" s="4" t="str">
        <f>IF(AND(IFERROR(FIND(Planned!$B$3,B237,1),0),$E237&lt;=Planned!$I$6, $E237&gt;=Planned!$H$6), "Yes","No")</f>
        <v>No</v>
      </c>
      <c r="K237" s="4">
        <f>F237*VLOOKUP($G237,Planned!$C$14:$E$16,3,FALSE)</f>
        <v>350</v>
      </c>
    </row>
    <row r="238" spans="1:11" hidden="1" x14ac:dyDescent="0.2">
      <c r="A238" s="27">
        <v>4042</v>
      </c>
      <c r="B238" s="27" t="s">
        <v>15</v>
      </c>
      <c r="C238" s="27" t="s">
        <v>9</v>
      </c>
      <c r="D238" s="27" t="s">
        <v>14</v>
      </c>
      <c r="E238" s="28">
        <v>46084</v>
      </c>
      <c r="F238" s="27">
        <v>8</v>
      </c>
      <c r="G238" s="27" t="s">
        <v>10</v>
      </c>
      <c r="I238" s="4" t="str">
        <f t="shared" si="3"/>
        <v>Reports</v>
      </c>
      <c r="J238" s="4" t="str">
        <f>IF(AND(IFERROR(FIND(Planned!$B$3,B238,1),0),$E238&lt;=Planned!$I$6, $E238&gt;=Planned!$H$6), "Yes","No")</f>
        <v>No</v>
      </c>
      <c r="K238" s="4">
        <f>F238*VLOOKUP($G238,Planned!$C$14:$E$16,3,FALSE)</f>
        <v>400</v>
      </c>
    </row>
    <row r="239" spans="1:11" hidden="1" x14ac:dyDescent="0.2">
      <c r="A239" s="27">
        <v>4042</v>
      </c>
      <c r="B239" s="27" t="s">
        <v>15</v>
      </c>
      <c r="C239" s="27" t="s">
        <v>17</v>
      </c>
      <c r="E239" s="28">
        <v>46032</v>
      </c>
      <c r="F239" s="27">
        <v>2</v>
      </c>
      <c r="G239" s="27" t="s">
        <v>13</v>
      </c>
      <c r="H239" s="27" t="s">
        <v>16</v>
      </c>
      <c r="I239" s="4" t="str">
        <f t="shared" si="3"/>
        <v>Maintenance</v>
      </c>
      <c r="J239" s="4" t="str">
        <f>IF(AND(IFERROR(FIND(Planned!$B$3,B239,1),0),$E239&lt;=Planned!$I$6, $E239&gt;=Planned!$H$6), "Yes","No")</f>
        <v>No</v>
      </c>
      <c r="K239" s="4">
        <f>F239*VLOOKUP($G239,Planned!$C$14:$E$16,3,FALSE)</f>
        <v>110</v>
      </c>
    </row>
    <row r="240" spans="1:11" hidden="1" x14ac:dyDescent="0.2">
      <c r="A240" s="27">
        <v>4042</v>
      </c>
      <c r="B240" s="27" t="s">
        <v>15</v>
      </c>
      <c r="C240" s="27" t="s">
        <v>17</v>
      </c>
      <c r="E240" s="28">
        <v>46033</v>
      </c>
      <c r="F240" s="27">
        <v>8</v>
      </c>
      <c r="G240" s="27" t="s">
        <v>13</v>
      </c>
      <c r="H240" s="27" t="s">
        <v>14</v>
      </c>
      <c r="I240" s="4" t="str">
        <f t="shared" si="3"/>
        <v>Reports</v>
      </c>
      <c r="J240" s="4" t="str">
        <f>IF(AND(IFERROR(FIND(Planned!$B$3,B240,1),0),$E240&lt;=Planned!$I$6, $E240&gt;=Planned!$H$6), "Yes","No")</f>
        <v>No</v>
      </c>
      <c r="K240" s="4">
        <f>F240*VLOOKUP($G240,Planned!$C$14:$E$16,3,FALSE)</f>
        <v>440</v>
      </c>
    </row>
    <row r="241" spans="1:11" hidden="1" x14ac:dyDescent="0.2">
      <c r="A241" s="27">
        <v>4042</v>
      </c>
      <c r="B241" s="27" t="s">
        <v>15</v>
      </c>
      <c r="C241" s="27" t="s">
        <v>17</v>
      </c>
      <c r="E241" s="28">
        <v>46034</v>
      </c>
      <c r="F241" s="27">
        <v>8</v>
      </c>
      <c r="G241" s="27" t="s">
        <v>13</v>
      </c>
      <c r="H241" s="27" t="s">
        <v>14</v>
      </c>
      <c r="I241" s="4" t="str">
        <f t="shared" si="3"/>
        <v>Reports</v>
      </c>
      <c r="J241" s="4" t="str">
        <f>IF(AND(IFERROR(FIND(Planned!$B$3,B241,1),0),$E241&lt;=Planned!$I$6, $E241&gt;=Planned!$H$6), "Yes","No")</f>
        <v>No</v>
      </c>
      <c r="K241" s="4">
        <f>F241*VLOOKUP($G241,Planned!$C$14:$E$16,3,FALSE)</f>
        <v>440</v>
      </c>
    </row>
    <row r="242" spans="1:11" hidden="1" x14ac:dyDescent="0.2">
      <c r="A242" s="27">
        <v>4042</v>
      </c>
      <c r="B242" s="27" t="s">
        <v>15</v>
      </c>
      <c r="C242" s="27" t="s">
        <v>17</v>
      </c>
      <c r="E242" s="28">
        <v>46048</v>
      </c>
      <c r="F242" s="27">
        <v>8</v>
      </c>
      <c r="G242" s="27" t="s">
        <v>10</v>
      </c>
      <c r="H242" s="27" t="s">
        <v>14</v>
      </c>
      <c r="I242" s="4" t="str">
        <f t="shared" si="3"/>
        <v>Reports</v>
      </c>
      <c r="J242" s="4" t="str">
        <f>IF(AND(IFERROR(FIND(Planned!$B$3,B242,1),0),$E242&lt;=Planned!$I$6, $E242&gt;=Planned!$H$6), "Yes","No")</f>
        <v>No</v>
      </c>
      <c r="K242" s="4">
        <f>F242*VLOOKUP($G242,Planned!$C$14:$E$16,3,FALSE)</f>
        <v>400</v>
      </c>
    </row>
    <row r="243" spans="1:11" hidden="1" x14ac:dyDescent="0.2">
      <c r="A243" s="27">
        <v>4042</v>
      </c>
      <c r="B243" s="27" t="s">
        <v>15</v>
      </c>
      <c r="C243" s="27" t="s">
        <v>17</v>
      </c>
      <c r="E243" s="28">
        <v>46049</v>
      </c>
      <c r="F243" s="27">
        <v>8</v>
      </c>
      <c r="G243" s="27" t="s">
        <v>10</v>
      </c>
      <c r="H243" s="27" t="s">
        <v>14</v>
      </c>
      <c r="I243" s="4" t="str">
        <f t="shared" si="3"/>
        <v>Reports</v>
      </c>
      <c r="J243" s="4" t="str">
        <f>IF(AND(IFERROR(FIND(Planned!$B$3,B243,1),0),$E243&lt;=Planned!$I$6, $E243&gt;=Planned!$H$6), "Yes","No")</f>
        <v>No</v>
      </c>
      <c r="K243" s="4">
        <f>F243*VLOOKUP($G243,Planned!$C$14:$E$16,3,FALSE)</f>
        <v>400</v>
      </c>
    </row>
    <row r="244" spans="1:11" hidden="1" x14ac:dyDescent="0.2">
      <c r="A244" s="27">
        <v>4042</v>
      </c>
      <c r="B244" s="27" t="s">
        <v>15</v>
      </c>
      <c r="C244" s="27" t="s">
        <v>17</v>
      </c>
      <c r="E244" s="28">
        <v>46066</v>
      </c>
      <c r="F244" s="27">
        <v>8</v>
      </c>
      <c r="G244" s="27" t="s">
        <v>13</v>
      </c>
      <c r="H244" s="27" t="s">
        <v>16</v>
      </c>
      <c r="I244" s="4" t="str">
        <f t="shared" si="3"/>
        <v>Maintenance</v>
      </c>
      <c r="J244" s="4" t="str">
        <f>IF(AND(IFERROR(FIND(Planned!$B$3,B244,1),0),$E244&lt;=Planned!$I$6, $E244&gt;=Planned!$H$6), "Yes","No")</f>
        <v>No</v>
      </c>
      <c r="K244" s="4">
        <f>F244*VLOOKUP($G244,Planned!$C$14:$E$16,3,FALSE)</f>
        <v>440</v>
      </c>
    </row>
    <row r="245" spans="1:11" hidden="1" x14ac:dyDescent="0.2">
      <c r="A245" s="27">
        <v>4042</v>
      </c>
      <c r="B245" s="27" t="s">
        <v>15</v>
      </c>
      <c r="C245" s="27" t="s">
        <v>17</v>
      </c>
      <c r="E245" s="28">
        <v>46067</v>
      </c>
      <c r="F245" s="27">
        <v>3</v>
      </c>
      <c r="G245" s="27" t="s">
        <v>13</v>
      </c>
      <c r="H245" s="27" t="s">
        <v>16</v>
      </c>
      <c r="I245" s="4" t="str">
        <f t="shared" si="3"/>
        <v>Maintenance</v>
      </c>
      <c r="J245" s="4" t="str">
        <f>IF(AND(IFERROR(FIND(Planned!$B$3,B245,1),0),$E245&lt;=Planned!$I$6, $E245&gt;=Planned!$H$6), "Yes","No")</f>
        <v>No</v>
      </c>
      <c r="K245" s="4">
        <f>F245*VLOOKUP($G245,Planned!$C$14:$E$16,3,FALSE)</f>
        <v>165</v>
      </c>
    </row>
    <row r="246" spans="1:11" hidden="1" x14ac:dyDescent="0.2">
      <c r="A246" s="27">
        <v>4042</v>
      </c>
      <c r="B246" s="27" t="s">
        <v>15</v>
      </c>
      <c r="C246" s="27" t="s">
        <v>17</v>
      </c>
      <c r="E246" s="28">
        <v>46078</v>
      </c>
      <c r="F246" s="27">
        <v>2</v>
      </c>
      <c r="G246" s="27" t="s">
        <v>18</v>
      </c>
      <c r="H246" s="27" t="s">
        <v>16</v>
      </c>
      <c r="I246" s="4" t="str">
        <f t="shared" si="3"/>
        <v>Maintenance</v>
      </c>
      <c r="J246" s="4" t="str">
        <f>IF(AND(IFERROR(FIND(Planned!$B$3,B246,1),0),$E246&lt;=Planned!$I$6, $E246&gt;=Planned!$H$6), "Yes","No")</f>
        <v>No</v>
      </c>
      <c r="K246" s="4">
        <f>F246*VLOOKUP($G246,Planned!$C$14:$E$16,3,FALSE)</f>
        <v>100</v>
      </c>
    </row>
    <row r="247" spans="1:11" hidden="1" x14ac:dyDescent="0.2">
      <c r="A247" s="27">
        <v>4042</v>
      </c>
      <c r="B247" s="27" t="s">
        <v>15</v>
      </c>
      <c r="C247" s="27" t="s">
        <v>17</v>
      </c>
      <c r="E247" s="28">
        <v>46079</v>
      </c>
      <c r="F247" s="27">
        <v>6</v>
      </c>
      <c r="G247" s="27" t="s">
        <v>18</v>
      </c>
      <c r="H247" s="27" t="s">
        <v>16</v>
      </c>
      <c r="I247" s="4" t="str">
        <f t="shared" si="3"/>
        <v>Maintenance</v>
      </c>
      <c r="J247" s="4" t="str">
        <f>IF(AND(IFERROR(FIND(Planned!$B$3,B247,1),0),$E247&lt;=Planned!$I$6, $E247&gt;=Planned!$H$6), "Yes","No")</f>
        <v>No</v>
      </c>
      <c r="K247" s="4">
        <f>F247*VLOOKUP($G247,Planned!$C$14:$E$16,3,FALSE)</f>
        <v>300</v>
      </c>
    </row>
    <row r="248" spans="1:11" hidden="1" x14ac:dyDescent="0.2">
      <c r="A248" s="27">
        <v>4042</v>
      </c>
      <c r="B248" s="27" t="s">
        <v>15</v>
      </c>
      <c r="C248" s="27" t="s">
        <v>19</v>
      </c>
      <c r="D248" s="27" t="s">
        <v>16</v>
      </c>
      <c r="E248" s="28">
        <v>46093</v>
      </c>
      <c r="F248" s="27">
        <v>6</v>
      </c>
      <c r="G248" s="27" t="s">
        <v>18</v>
      </c>
      <c r="I248" s="4" t="str">
        <f t="shared" si="3"/>
        <v>Maintenance</v>
      </c>
      <c r="J248" s="4" t="str">
        <f>IF(AND(IFERROR(FIND(Planned!$B$3,B248,1),0),$E248&lt;=Planned!$I$6, $E248&gt;=Planned!$H$6), "Yes","No")</f>
        <v>No</v>
      </c>
      <c r="K248" s="4">
        <f>F248*VLOOKUP($G248,Planned!$C$14:$E$16,3,FALSE)</f>
        <v>300</v>
      </c>
    </row>
    <row r="249" spans="1:11" hidden="1" x14ac:dyDescent="0.2">
      <c r="A249" s="27">
        <v>4042</v>
      </c>
      <c r="B249" s="27" t="s">
        <v>15</v>
      </c>
      <c r="C249" s="27" t="s">
        <v>19</v>
      </c>
      <c r="E249" s="28">
        <v>46036</v>
      </c>
      <c r="F249" s="27">
        <v>6</v>
      </c>
      <c r="G249" s="27" t="s">
        <v>10</v>
      </c>
      <c r="H249" s="27" t="s">
        <v>16</v>
      </c>
      <c r="I249" s="4" t="str">
        <f t="shared" si="3"/>
        <v>Maintenance</v>
      </c>
      <c r="J249" s="4" t="str">
        <f>IF(AND(IFERROR(FIND(Planned!$B$3,B249,1),0),$E249&lt;=Planned!$I$6, $E249&gt;=Planned!$H$6), "Yes","No")</f>
        <v>No</v>
      </c>
      <c r="K249" s="4">
        <f>F249*VLOOKUP($G249,Planned!$C$14:$E$16,3,FALSE)</f>
        <v>300</v>
      </c>
    </row>
    <row r="250" spans="1:11" hidden="1" x14ac:dyDescent="0.2">
      <c r="A250" s="27">
        <v>4042</v>
      </c>
      <c r="B250" s="27" t="s">
        <v>15</v>
      </c>
      <c r="C250" s="27" t="s">
        <v>19</v>
      </c>
      <c r="E250" s="28">
        <v>46037</v>
      </c>
      <c r="F250" s="27">
        <v>4</v>
      </c>
      <c r="G250" s="27" t="s">
        <v>10</v>
      </c>
      <c r="H250" s="27" t="s">
        <v>14</v>
      </c>
      <c r="I250" s="4" t="str">
        <f t="shared" si="3"/>
        <v>Reports</v>
      </c>
      <c r="J250" s="4" t="str">
        <f>IF(AND(IFERROR(FIND(Planned!$B$3,B250,1),0),$E250&lt;=Planned!$I$6, $E250&gt;=Planned!$H$6), "Yes","No")</f>
        <v>No</v>
      </c>
      <c r="K250" s="4">
        <f>F250*VLOOKUP($G250,Planned!$C$14:$E$16,3,FALSE)</f>
        <v>200</v>
      </c>
    </row>
    <row r="251" spans="1:11" hidden="1" x14ac:dyDescent="0.2">
      <c r="A251" s="27">
        <v>4042</v>
      </c>
      <c r="B251" s="27" t="s">
        <v>15</v>
      </c>
      <c r="C251" s="27" t="s">
        <v>19</v>
      </c>
      <c r="E251" s="28">
        <v>46038</v>
      </c>
      <c r="F251" s="27">
        <v>4</v>
      </c>
      <c r="G251" s="27" t="s">
        <v>10</v>
      </c>
      <c r="H251" s="27" t="s">
        <v>14</v>
      </c>
      <c r="I251" s="4" t="str">
        <f t="shared" si="3"/>
        <v>Reports</v>
      </c>
      <c r="J251" s="4" t="str">
        <f>IF(AND(IFERROR(FIND(Planned!$B$3,B251,1),0),$E251&lt;=Planned!$I$6, $E251&gt;=Planned!$H$6), "Yes","No")</f>
        <v>No</v>
      </c>
      <c r="K251" s="4">
        <f>F251*VLOOKUP($G251,Planned!$C$14:$E$16,3,FALSE)</f>
        <v>200</v>
      </c>
    </row>
    <row r="252" spans="1:11" hidden="1" x14ac:dyDescent="0.2">
      <c r="A252" s="27">
        <v>4042</v>
      </c>
      <c r="B252" s="27" t="s">
        <v>15</v>
      </c>
      <c r="C252" s="27" t="s">
        <v>19</v>
      </c>
      <c r="E252" s="28">
        <v>46039</v>
      </c>
      <c r="F252" s="27">
        <v>7</v>
      </c>
      <c r="G252" s="27" t="s">
        <v>10</v>
      </c>
      <c r="H252" s="27" t="s">
        <v>16</v>
      </c>
      <c r="I252" s="4" t="str">
        <f t="shared" si="3"/>
        <v>Maintenance</v>
      </c>
      <c r="J252" s="4" t="str">
        <f>IF(AND(IFERROR(FIND(Planned!$B$3,B252,1),0),$E252&lt;=Planned!$I$6, $E252&gt;=Planned!$H$6), "Yes","No")</f>
        <v>No</v>
      </c>
      <c r="K252" s="4">
        <f>F252*VLOOKUP($G252,Planned!$C$14:$E$16,3,FALSE)</f>
        <v>350</v>
      </c>
    </row>
    <row r="253" spans="1:11" x14ac:dyDescent="0.2">
      <c r="E253" s="28"/>
    </row>
    <row r="254" spans="1:11" x14ac:dyDescent="0.2">
      <c r="E254" s="28"/>
    </row>
    <row r="255" spans="1:11" x14ac:dyDescent="0.2">
      <c r="E255" s="28"/>
    </row>
    <row r="256" spans="1:11" x14ac:dyDescent="0.2">
      <c r="E256" s="28"/>
    </row>
    <row r="257" spans="5:5" s="27" customFormat="1" x14ac:dyDescent="0.2">
      <c r="E257" s="28"/>
    </row>
    <row r="258" spans="5:5" s="27" customFormat="1" x14ac:dyDescent="0.2">
      <c r="E258" s="28"/>
    </row>
    <row r="259" spans="5:5" s="27" customFormat="1" x14ac:dyDescent="0.2">
      <c r="E259" s="28"/>
    </row>
    <row r="260" spans="5:5" s="27" customFormat="1" x14ac:dyDescent="0.2">
      <c r="E260" s="28"/>
    </row>
    <row r="261" spans="5:5" s="27" customFormat="1" x14ac:dyDescent="0.2">
      <c r="E261" s="28"/>
    </row>
    <row r="262" spans="5:5" s="27" customFormat="1" x14ac:dyDescent="0.2">
      <c r="E262" s="28"/>
    </row>
    <row r="263" spans="5:5" s="27" customFormat="1" x14ac:dyDescent="0.2">
      <c r="E263" s="28"/>
    </row>
    <row r="264" spans="5:5" s="27" customFormat="1" x14ac:dyDescent="0.2">
      <c r="E264" s="28"/>
    </row>
    <row r="265" spans="5:5" s="27" customFormat="1" x14ac:dyDescent="0.2">
      <c r="E265" s="28"/>
    </row>
    <row r="266" spans="5:5" s="27" customFormat="1" x14ac:dyDescent="0.2">
      <c r="E266" s="28"/>
    </row>
    <row r="267" spans="5:5" s="27" customFormat="1" x14ac:dyDescent="0.2">
      <c r="E267" s="28"/>
    </row>
    <row r="268" spans="5:5" s="27" customFormat="1" x14ac:dyDescent="0.2">
      <c r="E268" s="28"/>
    </row>
    <row r="269" spans="5:5" s="27" customFormat="1" x14ac:dyDescent="0.2">
      <c r="E269" s="28"/>
    </row>
    <row r="270" spans="5:5" s="27" customFormat="1" x14ac:dyDescent="0.2">
      <c r="E270" s="28"/>
    </row>
    <row r="271" spans="5:5" s="27" customFormat="1" x14ac:dyDescent="0.2">
      <c r="E271" s="28"/>
    </row>
    <row r="362" spans="5:5" s="27" customFormat="1" x14ac:dyDescent="0.2">
      <c r="E362" s="28"/>
    </row>
    <row r="363" spans="5:5" s="27" customFormat="1" x14ac:dyDescent="0.2">
      <c r="E363" s="28"/>
    </row>
    <row r="364" spans="5:5" s="27" customFormat="1" x14ac:dyDescent="0.2">
      <c r="E364" s="28"/>
    </row>
    <row r="365" spans="5:5" s="27" customFormat="1" x14ac:dyDescent="0.2">
      <c r="E365" s="28"/>
    </row>
    <row r="366" spans="5:5" s="27" customFormat="1" x14ac:dyDescent="0.2">
      <c r="E366" s="28"/>
    </row>
    <row r="367" spans="5:5" s="27" customFormat="1" x14ac:dyDescent="0.2">
      <c r="E367" s="28"/>
    </row>
    <row r="368" spans="5:5" s="27" customFormat="1" x14ac:dyDescent="0.2">
      <c r="E368" s="28"/>
    </row>
    <row r="369" spans="5:5" s="27" customFormat="1" x14ac:dyDescent="0.2">
      <c r="E369" s="28"/>
    </row>
    <row r="370" spans="5:5" s="27" customFormat="1" x14ac:dyDescent="0.2">
      <c r="E370" s="28"/>
    </row>
    <row r="371" spans="5:5" s="27" customFormat="1" x14ac:dyDescent="0.2">
      <c r="E371" s="28"/>
    </row>
    <row r="372" spans="5:5" s="27" customFormat="1" x14ac:dyDescent="0.2">
      <c r="E372" s="28"/>
    </row>
    <row r="373" spans="5:5" s="27" customFormat="1" x14ac:dyDescent="0.2">
      <c r="E373" s="28"/>
    </row>
    <row r="374" spans="5:5" s="27" customFormat="1" x14ac:dyDescent="0.2">
      <c r="E374" s="28"/>
    </row>
    <row r="375" spans="5:5" s="27" customFormat="1" x14ac:dyDescent="0.2">
      <c r="E375" s="28"/>
    </row>
    <row r="376" spans="5:5" s="27" customFormat="1" x14ac:dyDescent="0.2">
      <c r="E376" s="28"/>
    </row>
    <row r="377" spans="5:5" s="27" customFormat="1" x14ac:dyDescent="0.2">
      <c r="E377" s="28"/>
    </row>
    <row r="378" spans="5:5" s="27" customFormat="1" x14ac:dyDescent="0.2">
      <c r="E378" s="28"/>
    </row>
    <row r="379" spans="5:5" s="27" customFormat="1" x14ac:dyDescent="0.2">
      <c r="E379" s="28"/>
    </row>
    <row r="380" spans="5:5" s="27" customFormat="1" x14ac:dyDescent="0.2">
      <c r="E380" s="28"/>
    </row>
    <row r="381" spans="5:5" s="27" customFormat="1" x14ac:dyDescent="0.2">
      <c r="E381" s="28"/>
    </row>
    <row r="382" spans="5:5" s="27" customFormat="1" x14ac:dyDescent="0.2">
      <c r="E382" s="28"/>
    </row>
    <row r="383" spans="5:5" s="27" customFormat="1" x14ac:dyDescent="0.2">
      <c r="E383" s="28"/>
    </row>
    <row r="384" spans="5:5" s="27" customFormat="1" x14ac:dyDescent="0.2">
      <c r="E384" s="28"/>
    </row>
    <row r="385" spans="5:5" s="27" customFormat="1" x14ac:dyDescent="0.2">
      <c r="E385" s="28"/>
    </row>
    <row r="386" spans="5:5" s="27" customFormat="1" x14ac:dyDescent="0.2">
      <c r="E386" s="28"/>
    </row>
    <row r="387" spans="5:5" s="27" customFormat="1" x14ac:dyDescent="0.2">
      <c r="E387" s="28"/>
    </row>
    <row r="388" spans="5:5" s="27" customFormat="1" x14ac:dyDescent="0.2">
      <c r="E388" s="28"/>
    </row>
    <row r="389" spans="5:5" s="27" customFormat="1" x14ac:dyDescent="0.2">
      <c r="E389" s="28"/>
    </row>
    <row r="390" spans="5:5" s="27" customFormat="1" x14ac:dyDescent="0.2">
      <c r="E390" s="28"/>
    </row>
    <row r="391" spans="5:5" s="27" customFormat="1" x14ac:dyDescent="0.2">
      <c r="E391" s="28"/>
    </row>
    <row r="392" spans="5:5" s="27" customFormat="1" x14ac:dyDescent="0.2">
      <c r="E392" s="28"/>
    </row>
    <row r="393" spans="5:5" s="27" customFormat="1" x14ac:dyDescent="0.2">
      <c r="E393" s="28"/>
    </row>
    <row r="394" spans="5:5" s="27" customFormat="1" x14ac:dyDescent="0.2">
      <c r="E394" s="28"/>
    </row>
    <row r="395" spans="5:5" s="27" customFormat="1" x14ac:dyDescent="0.2">
      <c r="E395" s="28"/>
    </row>
    <row r="396" spans="5:5" s="27" customFormat="1" x14ac:dyDescent="0.2">
      <c r="E396" s="28"/>
    </row>
    <row r="397" spans="5:5" s="27" customFormat="1" x14ac:dyDescent="0.2">
      <c r="E397" s="28"/>
    </row>
    <row r="398" spans="5:5" s="27" customFormat="1" x14ac:dyDescent="0.2">
      <c r="E398" s="28"/>
    </row>
    <row r="399" spans="5:5" s="27" customFormat="1" x14ac:dyDescent="0.2">
      <c r="E399" s="28"/>
    </row>
    <row r="400" spans="5:5" s="27" customFormat="1" x14ac:dyDescent="0.2">
      <c r="E400" s="28"/>
    </row>
    <row r="401" spans="5:5" s="27" customFormat="1" x14ac:dyDescent="0.2">
      <c r="E401" s="28"/>
    </row>
    <row r="402" spans="5:5" s="27" customFormat="1" x14ac:dyDescent="0.2">
      <c r="E402" s="28"/>
    </row>
    <row r="403" spans="5:5" s="27" customFormat="1" x14ac:dyDescent="0.2">
      <c r="E403" s="28"/>
    </row>
    <row r="404" spans="5:5" s="27" customFormat="1" x14ac:dyDescent="0.2">
      <c r="E404" s="28"/>
    </row>
    <row r="405" spans="5:5" s="27" customFormat="1" x14ac:dyDescent="0.2">
      <c r="E405" s="28"/>
    </row>
    <row r="406" spans="5:5" s="27" customFormat="1" x14ac:dyDescent="0.2">
      <c r="E406" s="28"/>
    </row>
    <row r="407" spans="5:5" s="27" customFormat="1" x14ac:dyDescent="0.2">
      <c r="E407" s="28"/>
    </row>
    <row r="408" spans="5:5" s="27" customFormat="1" x14ac:dyDescent="0.2">
      <c r="E408" s="28"/>
    </row>
    <row r="409" spans="5:5" s="27" customFormat="1" x14ac:dyDescent="0.2">
      <c r="E409" s="28"/>
    </row>
    <row r="410" spans="5:5" s="27" customFormat="1" x14ac:dyDescent="0.2">
      <c r="E410" s="28"/>
    </row>
    <row r="411" spans="5:5" s="27" customFormat="1" x14ac:dyDescent="0.2">
      <c r="E411" s="28"/>
    </row>
    <row r="412" spans="5:5" s="27" customFormat="1" x14ac:dyDescent="0.2">
      <c r="E412" s="28"/>
    </row>
    <row r="413" spans="5:5" s="27" customFormat="1" x14ac:dyDescent="0.2">
      <c r="E413" s="28"/>
    </row>
    <row r="414" spans="5:5" s="27" customFormat="1" x14ac:dyDescent="0.2">
      <c r="E414" s="28"/>
    </row>
    <row r="415" spans="5:5" s="27" customFormat="1" x14ac:dyDescent="0.2">
      <c r="E415" s="28"/>
    </row>
    <row r="416" spans="5:5" s="27" customFormat="1" x14ac:dyDescent="0.2">
      <c r="E416" s="28"/>
    </row>
    <row r="417" spans="5:5" s="27" customFormat="1" x14ac:dyDescent="0.2">
      <c r="E417" s="28"/>
    </row>
    <row r="418" spans="5:5" s="27" customFormat="1" x14ac:dyDescent="0.2">
      <c r="E418" s="28"/>
    </row>
    <row r="419" spans="5:5" s="27" customFormat="1" x14ac:dyDescent="0.2">
      <c r="E419" s="28"/>
    </row>
    <row r="420" spans="5:5" s="27" customFormat="1" x14ac:dyDescent="0.2">
      <c r="E420" s="28"/>
    </row>
    <row r="421" spans="5:5" s="27" customFormat="1" x14ac:dyDescent="0.2">
      <c r="E421" s="28"/>
    </row>
    <row r="422" spans="5:5" s="27" customFormat="1" x14ac:dyDescent="0.2">
      <c r="E422" s="28"/>
    </row>
  </sheetData>
  <autoFilter ref="A1:K252" xr:uid="{7531058E-5560-4187-88FE-930C1BB6DB6B}">
    <filterColumn colId="9">
      <filters>
        <filter val="Yes"/>
      </filters>
    </filterColumn>
  </autoFilter>
  <pageMargins left="0.7" right="0.7" top="0.75" bottom="0.75" header="0.3" footer="0.3"/>
  <pageSetup paperSize="9" scale="5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12819-8DC6-4C99-9C51-BCD30141BF8A}">
  <sheetPr>
    <tabColor theme="4" tint="-0.249977111117893"/>
  </sheetPr>
  <dimension ref="A1:I28"/>
  <sheetViews>
    <sheetView topLeftCell="D1" zoomScale="103" zoomScaleNormal="160" workbookViewId="0">
      <selection activeCell="H17" sqref="H17"/>
    </sheetView>
  </sheetViews>
  <sheetFormatPr baseColWidth="10" defaultColWidth="8.83203125" defaultRowHeight="15" x14ac:dyDescent="0.2"/>
  <cols>
    <col min="1" max="1" width="9.83203125" customWidth="1"/>
    <col min="2" max="3" width="19.83203125" customWidth="1"/>
    <col min="4" max="4" width="20.1640625" customWidth="1"/>
    <col min="5" max="5" width="18.5" customWidth="1"/>
    <col min="6" max="6" width="19.83203125" customWidth="1"/>
    <col min="7" max="7" width="14.83203125" customWidth="1"/>
    <col min="8" max="8" width="39.6640625" style="1" customWidth="1"/>
  </cols>
  <sheetData>
    <row r="1" spans="1:9" s="30" customFormat="1" ht="16" x14ac:dyDescent="0.2">
      <c r="A1" s="30" t="s">
        <v>83</v>
      </c>
      <c r="D1" s="31" t="s">
        <v>60</v>
      </c>
      <c r="F1" s="32" t="s">
        <v>61</v>
      </c>
      <c r="G1" s="31" t="s">
        <v>62</v>
      </c>
      <c r="H1" s="44" t="s">
        <v>36</v>
      </c>
      <c r="I1" s="33">
        <v>46117</v>
      </c>
    </row>
    <row r="3" spans="1:9" x14ac:dyDescent="0.2">
      <c r="B3" s="34" t="s">
        <v>68</v>
      </c>
    </row>
    <row r="5" spans="1:9" s="1" customFormat="1" ht="32" x14ac:dyDescent="0.2">
      <c r="B5" s="35" t="s">
        <v>3</v>
      </c>
      <c r="C5" s="35" t="s">
        <v>65</v>
      </c>
      <c r="D5" s="35" t="s">
        <v>63</v>
      </c>
      <c r="E5" s="35" t="s">
        <v>69</v>
      </c>
      <c r="F5" s="35" t="s">
        <v>66</v>
      </c>
      <c r="G5" s="36" t="s">
        <v>84</v>
      </c>
      <c r="H5" s="37" t="s">
        <v>67</v>
      </c>
    </row>
    <row r="6" spans="1:9" ht="16" x14ac:dyDescent="0.2">
      <c r="B6" s="4" t="s">
        <v>14</v>
      </c>
      <c r="C6" s="39">
        <f>VLOOKUP($B6,Planned!$B$6:$D$9,2,FALSE)</f>
        <v>90000</v>
      </c>
      <c r="D6" s="39">
        <f>VLOOKUP($B6,Planned!$B$6:$D$9,3,FALSE)</f>
        <v>22500</v>
      </c>
      <c r="E6" s="39">
        <f>SUMIFS('Timebooking (Internal team)'!$K:$K,'Timebooking (Internal team)'!$J:$J,"Yes",'Timebooking (Internal team)'!$I:$I,$B6) + SUMIFS(Vendor_STS!$F:$F,Vendor_STS!$E:$E,"Yes",Vendor_STS!$D:$D,$B6) + SUMIFS(Vendor_RTA!$G:$G,Vendor_RTA!$F:$F,"Yes",Vendor_RTA!$E:$E,$B6)</f>
        <v>9440</v>
      </c>
      <c r="F6" s="39">
        <f>E6-D6</f>
        <v>-13060</v>
      </c>
      <c r="G6" s="43">
        <f>ROUND(F6/D6*100,1)</f>
        <v>-58</v>
      </c>
      <c r="H6" s="1" t="str">
        <f>IF(G6&lt;0, "Underbudget",IF(G6=0,"On budget", "Overbudget"))</f>
        <v>Underbudget</v>
      </c>
    </row>
    <row r="7" spans="1:9" ht="16" x14ac:dyDescent="0.2">
      <c r="B7" s="4" t="s">
        <v>11</v>
      </c>
      <c r="C7" s="39">
        <f>VLOOKUP($B7,Planned!$B$6:$D$9,2,FALSE)</f>
        <v>120000</v>
      </c>
      <c r="D7" s="39">
        <f>VLOOKUP($B7,Planned!$B$6:$D$9,3,FALSE)</f>
        <v>30000</v>
      </c>
      <c r="E7" s="39">
        <f>SUMIFS('Timebooking (Internal team)'!$K:$K,'Timebooking (Internal team)'!$J:$J,"Yes",'Timebooking (Internal team)'!$I:$I,$B7) + SUMIFS(Vendor_STS!$F:$F,Vendor_STS!$E:$E,"Yes",Vendor_STS!$D:$D,$B7) + SUMIFS(Vendor_RTA!$G:$G,Vendor_RTA!$F:$F,"Yes",Vendor_RTA!$E:$E,$B7)</f>
        <v>30287.5</v>
      </c>
      <c r="F7" s="39">
        <f t="shared" ref="F7:F9" si="0">E7-D7</f>
        <v>287.5</v>
      </c>
      <c r="G7" s="43">
        <f t="shared" ref="G7:G9" si="1">ROUND(F7/D7*100,1)</f>
        <v>1</v>
      </c>
      <c r="H7" s="1" t="str">
        <f t="shared" ref="H7:H10" si="2">IF(G7&lt;0, "Underbudget",IF(G7=0,"On budget", "Overbudget"))</f>
        <v>Overbudget</v>
      </c>
    </row>
    <row r="8" spans="1:9" ht="16" x14ac:dyDescent="0.2">
      <c r="B8" s="4" t="s">
        <v>12</v>
      </c>
      <c r="C8" s="39">
        <f>VLOOKUP($B8,Planned!$B$6:$D$9,2,FALSE)</f>
        <v>30000</v>
      </c>
      <c r="D8" s="39">
        <f>VLOOKUP($B8,Planned!$B$6:$D$9,3,FALSE)</f>
        <v>7500</v>
      </c>
      <c r="E8" s="39">
        <f>SUMIFS('Timebooking (Internal team)'!$K:$K,'Timebooking (Internal team)'!$J:$J,"Yes",'Timebooking (Internal team)'!$I:$I,$B8) + SUMIFS(Vendor_STS!$F:$F,Vendor_STS!$E:$E,"Yes",Vendor_STS!$D:$D,$B8) + SUMIFS(Vendor_RTA!$G:$G,Vendor_RTA!$F:$F,"Yes",Vendor_RTA!$E:$E,$B8)</f>
        <v>3820</v>
      </c>
      <c r="F8" s="39">
        <f t="shared" si="0"/>
        <v>-3680</v>
      </c>
      <c r="G8" s="43">
        <f t="shared" si="1"/>
        <v>-49.1</v>
      </c>
      <c r="H8" s="1" t="str">
        <f t="shared" si="2"/>
        <v>Underbudget</v>
      </c>
    </row>
    <row r="9" spans="1:9" ht="16" x14ac:dyDescent="0.2">
      <c r="B9" s="4" t="s">
        <v>16</v>
      </c>
      <c r="C9" s="39">
        <f>VLOOKUP($B9,Planned!$B$6:$D$9,2,FALSE)</f>
        <v>80000</v>
      </c>
      <c r="D9" s="39">
        <f>VLOOKUP($B9,Planned!$B$6:$D$9,3,FALSE)</f>
        <v>20000</v>
      </c>
      <c r="E9" s="39">
        <f>SUMIFS('Timebooking (Internal team)'!$K:$K,'Timebooking (Internal team)'!$J:$J,"Yes",'Timebooking (Internal team)'!$I:$I,$B9) + SUMIFS(Vendor_STS!$F:$F,Vendor_STS!$E:$E,"Yes",Vendor_STS!$D:$D,$B9) + SUMIFS(Vendor_RTA!$G:$G,Vendor_RTA!$F:$F,"Yes",Vendor_RTA!$E:$E,$B9)</f>
        <v>39285</v>
      </c>
      <c r="F9" s="39">
        <f t="shared" si="0"/>
        <v>19285</v>
      </c>
      <c r="G9" s="43">
        <f t="shared" si="1"/>
        <v>96.4</v>
      </c>
      <c r="H9" s="1" t="str">
        <f t="shared" si="2"/>
        <v>Overbudget</v>
      </c>
    </row>
    <row r="10" spans="1:9" ht="16" x14ac:dyDescent="0.2">
      <c r="B10" s="6" t="s">
        <v>64</v>
      </c>
      <c r="C10" s="40">
        <f>SUM(C6:C9)</f>
        <v>320000</v>
      </c>
      <c r="D10" s="40">
        <f>SUM(D6:D9)</f>
        <v>80000</v>
      </c>
      <c r="E10" s="40">
        <f>SUM(E6:E9)</f>
        <v>82832.5</v>
      </c>
      <c r="F10" s="40">
        <f>SUM(F6:F9)</f>
        <v>2832.5</v>
      </c>
      <c r="G10" s="2">
        <f>ROUND(F10/D10*100,1)</f>
        <v>3.5</v>
      </c>
      <c r="H10" s="45" t="str">
        <f t="shared" si="2"/>
        <v>Overbudget</v>
      </c>
    </row>
    <row r="13" spans="1:9" x14ac:dyDescent="0.2">
      <c r="B13" s="34" t="s">
        <v>70</v>
      </c>
    </row>
    <row r="14" spans="1:9" x14ac:dyDescent="0.2">
      <c r="B14" s="34"/>
    </row>
    <row r="15" spans="1:9" ht="32" x14ac:dyDescent="0.2">
      <c r="B15" s="35" t="s">
        <v>3</v>
      </c>
      <c r="C15" s="38" t="s">
        <v>13</v>
      </c>
      <c r="D15" s="38" t="s">
        <v>10</v>
      </c>
      <c r="E15" s="38" t="s">
        <v>18</v>
      </c>
      <c r="F15" s="38" t="s">
        <v>16</v>
      </c>
      <c r="G15" s="37" t="s">
        <v>71</v>
      </c>
      <c r="H15" s="36" t="s">
        <v>72</v>
      </c>
    </row>
    <row r="16" spans="1:9" ht="16" x14ac:dyDescent="0.2">
      <c r="B16" s="4" t="s">
        <v>14</v>
      </c>
      <c r="C16" s="39">
        <f>SUMIFS('Timebooking (Internal team)'!$K:$K,'Timebooking (Internal team)'!$J:$J,"Yes",'Timebooking (Internal team)'!$I:$I,$B16,'Timebooking (Internal team)'!$G:$G,Tracker!C$15) + SUMIFS(Vendor_STS!$F:$F,Vendor_STS!$E:$E,"Yes",Vendor_STS!$D:$D,$B16,Vendor_STS!$D:$D,Tracker!C$15) + SUMIFS(Vendor_RTA!$G:$G,Vendor_RTA!$F:$F,"Yes",Vendor_RTA!$E:$E,$B16,Vendor_RTA!$E:$E,Tracker!C$15)</f>
        <v>1540</v>
      </c>
      <c r="D16" s="39">
        <f>SUMIFS('Timebooking (Internal team)'!$K:$K,'Timebooking (Internal team)'!$J:$J,"Yes",'Timebooking (Internal team)'!$I:$I,$B16,'Timebooking (Internal team)'!$G:$G,Tracker!D$15) + SUMIFS(Vendor_STS!$F:$F,Vendor_STS!$E:$E,"Yes",Vendor_STS!$D:$D,$B16,Vendor_STS!$D:$D,Tracker!D$15) + SUMIFS(Vendor_RTA!$G:$G,Vendor_RTA!$F:$F,"Yes",Vendor_RTA!$E:$E,$B16,Vendor_RTA!$E:$E,Tracker!D$15)</f>
        <v>5800</v>
      </c>
      <c r="E16" s="39">
        <f>SUMIFS('Timebooking (Internal team)'!$K:$K,'Timebooking (Internal team)'!$J:$J,"Yes",'Timebooking (Internal team)'!$I:$I,$B16,'Timebooking (Internal team)'!$G:$G,Tracker!E$15) + SUMIFS(Vendor_STS!$F:$F,Vendor_STS!$E:$E,"Yes",Vendor_STS!$D:$D,$B16,Vendor_STS!$D:$D,Tracker!E$15) + SUMIFS(Vendor_RTA!$G:$G,Vendor_RTA!$F:$F,"Yes",Vendor_RTA!$E:$E,$B16,Vendor_RTA!$E:$E,Tracker!E$15)</f>
        <v>2100</v>
      </c>
      <c r="F16" s="39">
        <f>SUMIFS('Timebooking (Internal team)'!$K:$K,'Timebooking (Internal team)'!$J:$J,"Yes",'Timebooking (Internal team)'!$I:$I,$B16,'Timebooking (Internal team)'!$G:$G,Tracker!F$15) + SUMIFS(Vendor_STS!$F:$F,Vendor_STS!$E:$E,"Yes",Vendor_STS!$D:$D,$B16,Vendor_STS!$D:$D,Tracker!F$15) + SUMIFS(Vendor_RTA!$G:$G,Vendor_RTA!$F:$F,"Yes",Vendor_RTA!$E:$E,$B16,Vendor_RTA!$E:$E,Tracker!F$15)</f>
        <v>0</v>
      </c>
      <c r="G16" t="str">
        <f>VLOOKUP(B16,B6:H9,7,FALSE)</f>
        <v>Underbudget</v>
      </c>
      <c r="H16" s="46" t="str">
        <f t="shared" ref="H16:H18" si="3">IF(G16="Overbudget",IF(C16=0,"",C$15 &amp; "(USD " &amp;TEXT(C16,"0,00")&amp;")") &amp; " " &amp; IF(D16=0,"",D$15&amp; "(USD " &amp;TEXT(D16,"0,00")&amp;")") &amp; " " &amp; IF(E16=0,"",E$15&amp; "(USD " &amp;TEXT(E16,"0,00")&amp;")") &amp; " " &amp;IF(F16=0,"",F$15&amp; "(USD " &amp;TEXT(F16,"0,00")&amp;")"),"")</f>
        <v/>
      </c>
    </row>
    <row r="17" spans="2:8" ht="32" x14ac:dyDescent="0.2">
      <c r="B17" s="4" t="s">
        <v>11</v>
      </c>
      <c r="C17" s="39">
        <f>SUMIFS('Timebooking (Internal team)'!$K:$K,'Timebooking (Internal team)'!$J:$J,"Yes",'Timebooking (Internal team)'!$I:$I,$B17,'Timebooking (Internal team)'!$G:$G,Tracker!C$15) + SUMIFS(Vendor_STS!$F:$F,Vendor_STS!$E:$E,"Yes",Vendor_STS!$D:$D,$B17,Vendor_STS!$D:$D,Tracker!C$15) + SUMIFS(Vendor_RTA!$G:$G,Vendor_RTA!$F:$F,"Yes",Vendor_RTA!$E:$E,$B17,Vendor_RTA!$E:$E,Tracker!C$15)</f>
        <v>6187.5</v>
      </c>
      <c r="D17" s="39">
        <f>SUMIFS('Timebooking (Internal team)'!$K:$K,'Timebooking (Internal team)'!$J:$J,"Yes",'Timebooking (Internal team)'!$I:$I,$B17,'Timebooking (Internal team)'!$G:$G,Tracker!D$15) + SUMIFS(Vendor_STS!$F:$F,Vendor_STS!$E:$E,"Yes",Vendor_STS!$D:$D,$B17,Vendor_STS!$D:$D,Tracker!D$15) + SUMIFS(Vendor_RTA!$G:$G,Vendor_RTA!$F:$F,"Yes",Vendor_RTA!$E:$E,$B17,Vendor_RTA!$E:$E,Tracker!D$15)</f>
        <v>19150</v>
      </c>
      <c r="E17" s="39">
        <f>SUMIFS('Timebooking (Internal team)'!$K:$K,'Timebooking (Internal team)'!$J:$J,"Yes",'Timebooking (Internal team)'!$I:$I,$B17,'Timebooking (Internal team)'!$G:$G,Tracker!E$15) + SUMIFS(Vendor_STS!$F:$F,Vendor_STS!$E:$E,"Yes",Vendor_STS!$D:$D,$B17,Vendor_STS!$D:$D,Tracker!E$15) + SUMIFS(Vendor_RTA!$G:$G,Vendor_RTA!$F:$F,"Yes",Vendor_RTA!$E:$E,$B17,Vendor_RTA!$E:$E,Tracker!E$15)</f>
        <v>4950</v>
      </c>
      <c r="F17" s="39">
        <f>SUMIFS('Timebooking (Internal team)'!$K:$K,'Timebooking (Internal team)'!$J:$J,"Yes",'Timebooking (Internal team)'!$I:$I,$B17,'Timebooking (Internal team)'!$G:$G,Tracker!F$15) + SUMIFS(Vendor_STS!$F:$F,Vendor_STS!$E:$E,"Yes",Vendor_STS!$D:$D,$B17,Vendor_STS!$D:$D,Tracker!F$15) + SUMIFS(Vendor_RTA!$G:$G,Vendor_RTA!$F:$F,"Yes",Vendor_RTA!$E:$E,$B17,Vendor_RTA!$E:$E,Tracker!F$15)</f>
        <v>0</v>
      </c>
      <c r="G17" t="str">
        <f t="shared" ref="G17:G19" si="4">VLOOKUP(B17,B7:H10,7,FALSE)</f>
        <v>Overbudget</v>
      </c>
      <c r="H17" s="46" t="str">
        <f>IF(G17="Overbudget",IF(C17=0,"",C$15 &amp; "(USD " &amp;TEXT(C17,"0,00")&amp;")") &amp; " " &amp; IF(D17=0,"",D$15&amp; "(USD " &amp;TEXT(D17,"0,00")&amp;")") &amp; " " &amp; IF(E17=0,"",E$15&amp; "(USD " &amp;TEXT(E17,"0,00")&amp;")") &amp; " " &amp;IF(F17=0,"",F$15&amp; "(USD " &amp;TEXT(F17,"0,00")&amp;")"),"")</f>
        <v xml:space="preserve">Design(USD 6,188) Implementation(USD 19,150) Testing(USD 4,950) </v>
      </c>
    </row>
    <row r="18" spans="2:8" ht="16" x14ac:dyDescent="0.2">
      <c r="B18" s="4" t="s">
        <v>12</v>
      </c>
      <c r="C18" s="39">
        <f>SUMIFS('Timebooking (Internal team)'!$K:$K,'Timebooking (Internal team)'!$J:$J,"Yes",'Timebooking (Internal team)'!$I:$I,$B18,'Timebooking (Internal team)'!$G:$G,Tracker!C$15) + SUMIFS(Vendor_STS!$F:$F,Vendor_STS!$E:$E,"Yes",Vendor_STS!$D:$D,$B18,Vendor_STS!$D:$D,Tracker!C$15) + SUMIFS(Vendor_RTA!$G:$G,Vendor_RTA!$F:$F,"Yes",Vendor_RTA!$E:$E,$B18,Vendor_RTA!$E:$E,Tracker!C$15)</f>
        <v>220</v>
      </c>
      <c r="D18" s="39">
        <f>SUMIFS('Timebooking (Internal team)'!$K:$K,'Timebooking (Internal team)'!$J:$J,"Yes",'Timebooking (Internal team)'!$I:$I,$B18,'Timebooking (Internal team)'!$G:$G,Tracker!D$15) + SUMIFS(Vendor_STS!$F:$F,Vendor_STS!$E:$E,"Yes",Vendor_STS!$D:$D,$B18,Vendor_STS!$D:$D,Tracker!D$15) + SUMIFS(Vendor_RTA!$G:$G,Vendor_RTA!$F:$F,"Yes",Vendor_RTA!$E:$E,$B18,Vendor_RTA!$E:$E,Tracker!D$15)</f>
        <v>2600</v>
      </c>
      <c r="E18" s="39">
        <f>SUMIFS('Timebooking (Internal team)'!$K:$K,'Timebooking (Internal team)'!$J:$J,"Yes",'Timebooking (Internal team)'!$I:$I,$B18,'Timebooking (Internal team)'!$G:$G,Tracker!E$15) + SUMIFS(Vendor_STS!$F:$F,Vendor_STS!$E:$E,"Yes",Vendor_STS!$D:$D,$B18,Vendor_STS!$D:$D,Tracker!E$15) + SUMIFS(Vendor_RTA!$G:$G,Vendor_RTA!$F:$F,"Yes",Vendor_RTA!$E:$E,$B18,Vendor_RTA!$E:$E,Tracker!E$15)</f>
        <v>1000</v>
      </c>
      <c r="F18" s="39">
        <f>SUMIFS('Timebooking (Internal team)'!$K:$K,'Timebooking (Internal team)'!$J:$J,"Yes",'Timebooking (Internal team)'!$I:$I,$B18,'Timebooking (Internal team)'!$G:$G,Tracker!F$15) + SUMIFS(Vendor_STS!$F:$F,Vendor_STS!$E:$E,"Yes",Vendor_STS!$D:$D,$B18,Vendor_STS!$D:$D,Tracker!F$15) + SUMIFS(Vendor_RTA!$G:$G,Vendor_RTA!$F:$F,"Yes",Vendor_RTA!$E:$E,$B18,Vendor_RTA!$E:$E,Tracker!F$15)</f>
        <v>0</v>
      </c>
      <c r="G18" t="str">
        <f t="shared" si="4"/>
        <v>Underbudget</v>
      </c>
      <c r="H18" s="46" t="str">
        <f t="shared" si="3"/>
        <v/>
      </c>
    </row>
    <row r="19" spans="2:8" ht="16" x14ac:dyDescent="0.2">
      <c r="B19" s="4" t="s">
        <v>16</v>
      </c>
      <c r="C19" s="39">
        <f>SUMIFS('Timebooking (Internal team)'!$K:$K,'Timebooking (Internal team)'!$J:$J,"Yes",'Timebooking (Internal team)'!$I:$I,$B19,'Timebooking (Internal team)'!$G:$G,Tracker!C$15) + SUMIFS(Vendor_STS!$F:$F,Vendor_STS!$E:$E,"Yes",Vendor_STS!$D:$D,$B19,Vendor_STS!$D:$D,Tracker!C$15) + SUMIFS(Vendor_RTA!$G:$G,Vendor_RTA!$F:$F,"Yes",Vendor_RTA!$E:$E,$B19,Vendor_RTA!$E:$E,Tracker!C$15)</f>
        <v>0</v>
      </c>
      <c r="D19" s="39">
        <f>SUMIFS('Timebooking (Internal team)'!$K:$K,'Timebooking (Internal team)'!$J:$J,"Yes",'Timebooking (Internal team)'!$I:$I,$B19,'Timebooking (Internal team)'!$G:$G,Tracker!D$15) + SUMIFS(Vendor_STS!$F:$F,Vendor_STS!$E:$E,"Yes",Vendor_STS!$D:$D,$B19,Vendor_STS!$D:$D,Tracker!D$15) + SUMIFS(Vendor_RTA!$G:$G,Vendor_RTA!$F:$F,"Yes",Vendor_RTA!$E:$E,$B19,Vendor_RTA!$E:$E,Tracker!D$15)</f>
        <v>0</v>
      </c>
      <c r="E19" s="39">
        <f>SUMIFS('Timebooking (Internal team)'!$K:$K,'Timebooking (Internal team)'!$J:$J,"Yes",'Timebooking (Internal team)'!$I:$I,$B19,'Timebooking (Internal team)'!$G:$G,Tracker!E$15) + SUMIFS(Vendor_STS!$F:$F,Vendor_STS!$E:$E,"Yes",Vendor_STS!$D:$D,$B19,Vendor_STS!$D:$D,Tracker!E$15) + SUMIFS(Vendor_RTA!$G:$G,Vendor_RTA!$F:$F,"Yes",Vendor_RTA!$E:$E,$B19,Vendor_RTA!$E:$E,Tracker!E$15)</f>
        <v>0</v>
      </c>
      <c r="F19" s="39">
        <f>SUMIFS('Timebooking (Internal team)'!$K:$K,'Timebooking (Internal team)'!$J:$J,"Yes",'Timebooking (Internal team)'!$I:$I,$B19,'Timebooking (Internal team)'!$G:$G,Tracker!F$15) + SUMIFS(Vendor_STS!$F:$F,Vendor_STS!$E:$E,"Yes",Vendor_STS!$D:$D,$B19,Vendor_STS!$D:$D,Tracker!F$15) + SUMIFS(Vendor_RTA!$G:$G,Vendor_RTA!$F:$F,"Yes",Vendor_RTA!$E:$E,$B19,Vendor_RTA!$E:$E,Tracker!F$15)</f>
        <v>39285</v>
      </c>
      <c r="G19" t="str">
        <f t="shared" si="4"/>
        <v>Overbudget</v>
      </c>
      <c r="H19" s="46" t="str">
        <f>IF(G19="Overbudget",IF(C19=0,"",C$15 &amp; "(USD " &amp;TEXT(C19,"0,00")&amp;")") &amp; " " &amp; IF(D19=0,"",D$15&amp; "(USD " &amp;TEXT(D19,"0,00")&amp;")") &amp; " " &amp; IF(E19=0,"",E$15&amp; "(USD " &amp;TEXT(E19,"0,00")&amp;")") &amp; " " &amp;IF(F19=0,"",F$15&amp; "(USD " &amp;TEXT(F19,"0,00")&amp;")"),"")</f>
        <v xml:space="preserve">   Maintenance(USD 39,285)</v>
      </c>
    </row>
    <row r="20" spans="2:8" x14ac:dyDescent="0.2">
      <c r="B20" s="6" t="s">
        <v>64</v>
      </c>
      <c r="C20" s="40">
        <f>SUM(C16:C19)</f>
        <v>7947.5</v>
      </c>
      <c r="D20" s="40">
        <f t="shared" ref="D20:F20" si="5">SUM(D16:D19)</f>
        <v>27550</v>
      </c>
      <c r="E20" s="40">
        <f t="shared" si="5"/>
        <v>8050</v>
      </c>
      <c r="F20" s="40">
        <f t="shared" si="5"/>
        <v>39285</v>
      </c>
      <c r="G20" s="2"/>
      <c r="H20" s="45"/>
    </row>
    <row r="23" spans="2:8" x14ac:dyDescent="0.2">
      <c r="B23" s="34" t="s">
        <v>73</v>
      </c>
    </row>
    <row r="25" spans="2:8" ht="32" x14ac:dyDescent="0.2">
      <c r="B25" s="35" t="s">
        <v>37</v>
      </c>
      <c r="C25" s="35" t="s">
        <v>65</v>
      </c>
      <c r="D25" s="35" t="s">
        <v>63</v>
      </c>
      <c r="E25" s="35" t="s">
        <v>87</v>
      </c>
      <c r="F25" s="35" t="s">
        <v>66</v>
      </c>
      <c r="G25" s="36" t="s">
        <v>84</v>
      </c>
      <c r="H25" s="37" t="s">
        <v>67</v>
      </c>
    </row>
    <row r="26" spans="2:8" ht="16" x14ac:dyDescent="0.2">
      <c r="B26" t="s">
        <v>38</v>
      </c>
      <c r="C26">
        <f>VLOOKUP($B26,Planned!$B$26:$D$27,2,FALSE)</f>
        <v>40000</v>
      </c>
      <c r="D26">
        <f>VLOOKUP($B26,Planned!$B$26:$D$27,3,FALSE)</f>
        <v>10000</v>
      </c>
      <c r="E26">
        <f>SUMIFS(Vendor_STS!$F:$F,Vendor_STS!$E:$E,"Yes")</f>
        <v>21825</v>
      </c>
      <c r="F26" s="39">
        <f>E26-D26</f>
        <v>11825</v>
      </c>
      <c r="G26">
        <f>ROUND(F26/D26*100,1)</f>
        <v>118.3</v>
      </c>
      <c r="H26" s="47" t="str">
        <f>IF(G26&lt;=50, "Needs review",IF(G26&lt;=80,"Needs escalation", "Freeze PO"))</f>
        <v>Freeze PO</v>
      </c>
    </row>
    <row r="27" spans="2:8" ht="16" x14ac:dyDescent="0.2">
      <c r="B27" t="s">
        <v>39</v>
      </c>
      <c r="C27">
        <f>VLOOKUP($B27,Planned!$B$26:$D$27,2,FALSE)</f>
        <v>40000</v>
      </c>
      <c r="D27">
        <f>VLOOKUP($B27,Planned!$B$26:$D$27,3,FALSE)</f>
        <v>10000</v>
      </c>
      <c r="E27">
        <f>SUMIFS(Vendor_RTA!$G:$G,Vendor_RTA!$F:$F,"Yes")</f>
        <v>17460</v>
      </c>
      <c r="F27" s="39">
        <f t="shared" ref="F27" si="6">E27-D27</f>
        <v>7460</v>
      </c>
      <c r="G27">
        <f t="shared" ref="G27:G28" si="7">ROUND(F27/D27*100,1)</f>
        <v>74.599999999999994</v>
      </c>
      <c r="H27" s="47" t="str">
        <f>IF(G27&lt;=50, "Needs review",IF(G27&lt;=80,"Needs escalation", "Freeze PO"))</f>
        <v>Needs escalation</v>
      </c>
    </row>
    <row r="28" spans="2:8" x14ac:dyDescent="0.2">
      <c r="B28" s="2" t="s">
        <v>88</v>
      </c>
      <c r="C28" s="2">
        <f>SUM(C26:C27)</f>
        <v>80000</v>
      </c>
      <c r="D28" s="2">
        <f t="shared" ref="D28:F28" si="8">SUM(D26:D27)</f>
        <v>20000</v>
      </c>
      <c r="E28" s="2">
        <f t="shared" si="8"/>
        <v>39285</v>
      </c>
      <c r="F28" s="2">
        <f t="shared" si="8"/>
        <v>19285</v>
      </c>
      <c r="G28" s="48">
        <f t="shared" si="7"/>
        <v>96.4</v>
      </c>
      <c r="H28" s="45"/>
    </row>
  </sheetData>
  <conditionalFormatting sqref="H6:H10">
    <cfRule type="expression" dxfId="4" priority="7">
      <formula>H6="Overbudget"</formula>
    </cfRule>
    <cfRule type="expression" dxfId="3" priority="8">
      <formula>H6="On budget"</formula>
    </cfRule>
    <cfRule type="expression" dxfId="2" priority="9">
      <formula>H6="Underbudget"</formula>
    </cfRule>
  </conditionalFormatting>
  <conditionalFormatting sqref="H26:H27">
    <cfRule type="expression" dxfId="1" priority="4">
      <formula>H26="Needs Review"</formula>
    </cfRule>
    <cfRule type="expression" dxfId="0" priority="6">
      <formula>H26=""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40DAF-962B-4634-BAE8-3210D1161214}">
  <dimension ref="B4:F8"/>
  <sheetViews>
    <sheetView workbookViewId="0">
      <selection activeCell="E5" sqref="E5"/>
    </sheetView>
  </sheetViews>
  <sheetFormatPr baseColWidth="10" defaultColWidth="8.83203125" defaultRowHeight="15" x14ac:dyDescent="0.2"/>
  <cols>
    <col min="2" max="2" width="16" customWidth="1"/>
    <col min="3" max="3" width="13.6640625" customWidth="1"/>
    <col min="4" max="5" width="13" customWidth="1"/>
    <col min="6" max="6" width="16.1640625" customWidth="1"/>
  </cols>
  <sheetData>
    <row r="4" spans="2:6" ht="80" x14ac:dyDescent="0.2">
      <c r="B4" s="36" t="s">
        <v>3</v>
      </c>
      <c r="C4" s="38" t="s">
        <v>63</v>
      </c>
      <c r="D4" s="36" t="s">
        <v>85</v>
      </c>
      <c r="E4" s="36" t="s">
        <v>86</v>
      </c>
      <c r="F4" s="38" t="s">
        <v>74</v>
      </c>
    </row>
    <row r="5" spans="2:6" x14ac:dyDescent="0.2">
      <c r="B5" s="4" t="s">
        <v>14</v>
      </c>
      <c r="C5" s="39">
        <v>22500</v>
      </c>
      <c r="D5" s="39">
        <f>SUMIFS('Timebooking (Internal team)'!$K:$K,'Timebooking (Internal team)'!$J:$J,"Yes",'Timebooking (Internal team)'!$I:$I,$B5) + SUMIFS(Vendor_STS!$F:$F,Vendor_STS!$E:$E,"Yes",Vendor_STS!$D:$D,$B5) + SUMIFS(Vendor_RTA!$G:$G,Vendor_RTA!$F:$F,"Yes",Vendor_RTA!$E:$E,$B5)</f>
        <v>9440</v>
      </c>
      <c r="E5" s="39"/>
      <c r="F5" t="s">
        <v>75</v>
      </c>
    </row>
    <row r="6" spans="2:6" x14ac:dyDescent="0.2">
      <c r="B6" s="4" t="s">
        <v>11</v>
      </c>
      <c r="C6" s="39">
        <v>30000</v>
      </c>
      <c r="D6" s="39">
        <f>SUMIFS('Timebooking (Internal team)'!$K:$K,'Timebooking (Internal team)'!$J:$J,"Yes",'Timebooking (Internal team)'!$I:$I,$B6) + SUMIFS(Vendor_STS!$F:$F,Vendor_STS!$E:$E,"Yes",Vendor_STS!$D:$D,$B6) + SUMIFS(Vendor_RTA!$G:$G,Vendor_RTA!$F:$F,"Yes",Vendor_RTA!$E:$E,$B6)</f>
        <v>30287.5</v>
      </c>
      <c r="E6" s="39"/>
      <c r="F6" t="s">
        <v>75</v>
      </c>
    </row>
    <row r="7" spans="2:6" x14ac:dyDescent="0.2">
      <c r="B7" s="4" t="s">
        <v>12</v>
      </c>
      <c r="C7" s="39">
        <v>7500</v>
      </c>
      <c r="D7" s="39">
        <f>SUMIFS('Timebooking (Internal team)'!$K:$K,'Timebooking (Internal team)'!$J:$J,"Yes",'Timebooking (Internal team)'!$I:$I,$B7) + SUMIFS(Vendor_STS!$F:$F,Vendor_STS!$E:$E,"Yes",Vendor_STS!$D:$D,$B7) + SUMIFS(Vendor_RTA!$G:$G,Vendor_RTA!$F:$F,"Yes",Vendor_RTA!$E:$E,$B7)</f>
        <v>3820</v>
      </c>
      <c r="E7" s="39"/>
      <c r="F7" t="s">
        <v>75</v>
      </c>
    </row>
    <row r="8" spans="2:6" x14ac:dyDescent="0.2">
      <c r="B8" s="4" t="s">
        <v>16</v>
      </c>
      <c r="C8" s="39">
        <v>20000</v>
      </c>
      <c r="E8" s="39">
        <f>SUMIFS('Timebooking (Internal team)'!$K:$K,'Timebooking (Internal team)'!$J:$J,"Yes",'Timebooking (Internal team)'!$I:$I,$B8) + SUMIFS(Vendor_STS!$F:$F,Vendor_STS!$E:$E,"Yes",Vendor_STS!$D:$D,$B8) + SUMIFS(Vendor_RTA!$G:$G,Vendor_RTA!$F:$F,"Yes",Vendor_RTA!$E:$E,$B8)</f>
        <v>39285</v>
      </c>
      <c r="F8" t="s">
        <v>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Planned</vt:lpstr>
      <vt:lpstr>Vendor_STS</vt:lpstr>
      <vt:lpstr>Vendor_RTA</vt:lpstr>
      <vt:lpstr>Timebooking (Internal team)</vt:lpstr>
      <vt:lpstr>Tracker</vt:lpstr>
      <vt:lpstr>Chart</vt:lpstr>
      <vt:lpstr>'Timebooking (Internal team)'!Print_Area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JingJing Wu</cp:lastModifiedBy>
  <dcterms:created xsi:type="dcterms:W3CDTF">2015-06-05T18:17:20Z</dcterms:created>
  <dcterms:modified xsi:type="dcterms:W3CDTF">2026-04-29T18:31:08Z</dcterms:modified>
</cp:coreProperties>
</file>