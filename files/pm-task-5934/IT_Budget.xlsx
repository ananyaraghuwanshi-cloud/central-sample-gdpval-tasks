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sha\work\Mercor\Balboa\5934\"/>
    </mc:Choice>
  </mc:AlternateContent>
  <xr:revisionPtr revIDLastSave="0" documentId="13_ncr:1_{3885C1E3-D044-41EA-8C8E-8932BF01B856}" xr6:coauthVersionLast="47" xr6:coauthVersionMax="47" xr10:uidLastSave="{00000000-0000-0000-0000-000000000000}"/>
  <bookViews>
    <workbookView xWindow="-110" yWindow="-110" windowWidth="23260" windowHeight="14860" xr2:uid="{5F138865-4FDA-432B-A42F-7027AF084FCF}"/>
  </bookViews>
  <sheets>
    <sheet name="2025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<sst xmlns="http://schemas.openxmlformats.org/spreadsheetml/2006/main" count="56" uniqueCount="37">
  <si>
    <t>Division of Human Health</t>
  </si>
  <si>
    <t>Last update:</t>
  </si>
  <si>
    <t>Notes</t>
  </si>
  <si>
    <t>Approved</t>
  </si>
  <si>
    <t>Developer</t>
  </si>
  <si>
    <t>STS</t>
  </si>
  <si>
    <t>Vendor</t>
  </si>
  <si>
    <t>Rate per hour (USD)</t>
  </si>
  <si>
    <t>Senior Developer</t>
  </si>
  <si>
    <t>Vendor rates (2025)</t>
  </si>
  <si>
    <t>RTA</t>
  </si>
  <si>
    <t>Vendor rates (2026)</t>
  </si>
  <si>
    <t>Internal team rates billed to client</t>
  </si>
  <si>
    <t>Purchase orders</t>
  </si>
  <si>
    <t>PO1432, PO1435</t>
  </si>
  <si>
    <t>PO1332</t>
  </si>
  <si>
    <t>PO1354</t>
  </si>
  <si>
    <t>PO983, PO234</t>
  </si>
  <si>
    <t>Standard developer rate 450 USD per day</t>
  </si>
  <si>
    <t>Standard developer rate 400 USD per day</t>
  </si>
  <si>
    <t>Vendors</t>
  </si>
  <si>
    <t>Vendors are required to submit a timesheet every month</t>
  </si>
  <si>
    <t>Latest Planned budget (USD)</t>
  </si>
  <si>
    <t>-- Notes</t>
  </si>
  <si>
    <t>Senior Developer rate for both vendors discounted by 5 USD per hour if hours billed per month greater than 50</t>
  </si>
  <si>
    <t>Development</t>
  </si>
  <si>
    <t>Project Type</t>
  </si>
  <si>
    <t>Innovation</t>
  </si>
  <si>
    <t>R&amp;D</t>
  </si>
  <si>
    <t>Standard developer rate includes implementation, testing and maintenance</t>
  </si>
  <si>
    <t>Total apporved budget</t>
  </si>
  <si>
    <t>Ad-hoc support</t>
  </si>
  <si>
    <t>Pending approval</t>
  </si>
  <si>
    <t>Internal team rate for Design activity to be charged at 440 per day (starting beginning of 2026)</t>
  </si>
  <si>
    <t>Approved (budget distributed 25% over each quarter), Budget by product (25% distribution over each quarter): Reports:90000,Mobile App: 120000, Integration API: 30000, Maintenance: budget available after deduction of budget for other products from the project</t>
  </si>
  <si>
    <t>Project Number</t>
  </si>
  <si>
    <t>Approved April 1, 2026: Carry over USD 100,000 from 2025 should be added to 4 projects (USD 20,000 per project) in the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</si>
</sst>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5" fontId="0" fillId="2" borderId="1" xfId="0" applyNumberFormat="1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2" borderId="1" xfId="0" applyFill="1" applyBorder="1" applyAlignment="1">
      <alignment horizontal="right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left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BAF-7C9F-494E-B0B8-2FD4E69DC4C3}">
  <dimension ref="A1:F26"/>
  <sheetViews>
    <sheetView tabSelected="1" workbookViewId="0">
      <selection activeCell="F5" sqref="F5"/>
    </sheetView>
  </sheetViews>
  <sheetFormatPr defaultRowHeight="14.5" x14ac:dyDescent="0.35"/>
  <cols>
    <col min="1" max="1" width="12.90625" customWidth="1"/>
    <col min="2" max="2" width="30.26953125" customWidth="1"/>
    <col min="3" max="3" width="31.08984375" customWidth="1"/>
    <col min="4" max="4" width="47.36328125" style="3" customWidth="1"/>
    <col min="5" max="5" width="22" customWidth="1"/>
    <col min="6" max="6" width="16.26953125" customWidth="1"/>
  </cols>
  <sheetData>
    <row r="1" spans="1:6" s="1" customFormat="1" x14ac:dyDescent="0.35">
      <c r="A1" s="1" t="s">
        <v>0</v>
      </c>
      <c r="D1" s="6" t="s">
        <v>1</v>
      </c>
      <c r="E1" s="2">
        <v>46117</v>
      </c>
    </row>
    <row r="3" spans="1:6" x14ac:dyDescent="0.35">
      <c r="A3" s="4" t="s">
        <v>35</v>
      </c>
      <c r="B3" s="4" t="s">
        <v>26</v>
      </c>
      <c r="C3" s="4" t="s">
        <v>22</v>
      </c>
      <c r="D3" s="5" t="s">
        <v>2</v>
      </c>
      <c r="F3" s="8" t="s">
        <v>23</v>
      </c>
    </row>
    <row r="4" spans="1:6" x14ac:dyDescent="0.35">
      <c r="A4">
        <v>1</v>
      </c>
      <c r="B4" t="s">
        <v>31</v>
      </c>
      <c r="C4">
        <v>150000</v>
      </c>
      <c r="D4" s="3" t="s">
        <v>3</v>
      </c>
      <c r="F4" s="9" t="s">
        <v>21</v>
      </c>
    </row>
    <row r="5" spans="1:6" ht="72.5" x14ac:dyDescent="0.35">
      <c r="A5">
        <v>2</v>
      </c>
      <c r="B5" t="s">
        <v>25</v>
      </c>
      <c r="C5">
        <v>320000</v>
      </c>
      <c r="D5" s="3" t="s">
        <v>34</v>
      </c>
      <c r="F5" s="9" t="s">
        <v>36</v>
      </c>
    </row>
    <row r="6" spans="1:6" x14ac:dyDescent="0.35">
      <c r="A6">
        <v>3</v>
      </c>
      <c r="B6" t="s">
        <v>27</v>
      </c>
      <c r="C6">
        <v>430000</v>
      </c>
      <c r="D6" s="3" t="s">
        <v>3</v>
      </c>
      <c r="F6" s="9" t="s">
        <v>29</v>
      </c>
    </row>
    <row r="7" spans="1:6" x14ac:dyDescent="0.35">
      <c r="A7">
        <v>4</v>
      </c>
      <c r="B7" t="s">
        <v>28</v>
      </c>
      <c r="C7">
        <v>200000</v>
      </c>
      <c r="D7" s="3" t="s">
        <v>32</v>
      </c>
      <c r="F7" s="9" t="s">
        <v>33</v>
      </c>
    </row>
    <row r="8" spans="1:6" x14ac:dyDescent="0.35">
      <c r="A8" s="10"/>
      <c r="B8" s="10" t="s">
        <v>30</v>
      </c>
      <c r="C8" s="10">
        <f>SUM(C4:C7)</f>
        <v>1100000</v>
      </c>
      <c r="F8" s="9" t="s">
        <v>24</v>
      </c>
    </row>
    <row r="11" spans="1:6" x14ac:dyDescent="0.35">
      <c r="B11" t="s">
        <v>12</v>
      </c>
    </row>
    <row r="12" spans="1:6" x14ac:dyDescent="0.35">
      <c r="A12">
        <v>2025</v>
      </c>
      <c r="B12" t="s">
        <v>18</v>
      </c>
    </row>
    <row r="13" spans="1:6" x14ac:dyDescent="0.35">
      <c r="A13">
        <v>2026</v>
      </c>
      <c r="B13" t="s">
        <v>19</v>
      </c>
    </row>
    <row r="16" spans="1:6" x14ac:dyDescent="0.35">
      <c r="B16" s="7" t="s">
        <v>20</v>
      </c>
    </row>
    <row r="17" spans="1:5" x14ac:dyDescent="0.35">
      <c r="B17" t="s">
        <v>9</v>
      </c>
      <c r="C17" t="s">
        <v>6</v>
      </c>
      <c r="D17" s="3" t="s">
        <v>7</v>
      </c>
      <c r="E17" t="s">
        <v>13</v>
      </c>
    </row>
    <row r="18" spans="1:5" x14ac:dyDescent="0.35">
      <c r="A18">
        <v>1</v>
      </c>
      <c r="B18" t="s">
        <v>4</v>
      </c>
      <c r="C18" t="s">
        <v>5</v>
      </c>
      <c r="D18" s="3">
        <v>40</v>
      </c>
      <c r="E18" t="s">
        <v>15</v>
      </c>
    </row>
    <row r="19" spans="1:5" x14ac:dyDescent="0.35">
      <c r="A19">
        <v>2</v>
      </c>
      <c r="B19" t="s">
        <v>8</v>
      </c>
      <c r="C19" t="s">
        <v>5</v>
      </c>
      <c r="D19" s="3">
        <v>60</v>
      </c>
      <c r="E19" t="s">
        <v>15</v>
      </c>
    </row>
    <row r="20" spans="1:5" x14ac:dyDescent="0.35">
      <c r="A20">
        <v>3</v>
      </c>
      <c r="B20" t="s">
        <v>4</v>
      </c>
      <c r="C20" t="s">
        <v>10</v>
      </c>
      <c r="D20" s="3">
        <v>35</v>
      </c>
      <c r="E20" t="s">
        <v>16</v>
      </c>
    </row>
    <row r="21" spans="1:5" x14ac:dyDescent="0.35">
      <c r="A21">
        <v>4</v>
      </c>
      <c r="B21" t="s">
        <v>8</v>
      </c>
      <c r="C21" t="s">
        <v>10</v>
      </c>
      <c r="D21" s="3">
        <v>65</v>
      </c>
      <c r="E21" t="s">
        <v>16</v>
      </c>
    </row>
    <row r="22" spans="1:5" x14ac:dyDescent="0.35">
      <c r="B22" t="s">
        <v>11</v>
      </c>
      <c r="C22" t="s">
        <v>6</v>
      </c>
      <c r="D22" s="3" t="s">
        <v>7</v>
      </c>
    </row>
    <row r="23" spans="1:5" x14ac:dyDescent="0.35">
      <c r="A23">
        <v>5</v>
      </c>
      <c r="B23" t="s">
        <v>4</v>
      </c>
      <c r="C23" t="s">
        <v>5</v>
      </c>
      <c r="D23" s="3">
        <v>45</v>
      </c>
      <c r="E23" t="s">
        <v>17</v>
      </c>
    </row>
    <row r="24" spans="1:5" x14ac:dyDescent="0.35">
      <c r="A24">
        <v>6</v>
      </c>
      <c r="B24" t="s">
        <v>8</v>
      </c>
      <c r="C24" t="s">
        <v>5</v>
      </c>
      <c r="D24" s="3">
        <v>65</v>
      </c>
      <c r="E24" t="s">
        <v>17</v>
      </c>
    </row>
    <row r="25" spans="1:5" x14ac:dyDescent="0.35">
      <c r="A25">
        <v>7</v>
      </c>
      <c r="B25" t="s">
        <v>4</v>
      </c>
      <c r="C25" t="s">
        <v>10</v>
      </c>
      <c r="D25" s="3">
        <v>40</v>
      </c>
      <c r="E25" t="s">
        <v>14</v>
      </c>
    </row>
    <row r="26" spans="1:5" x14ac:dyDescent="0.35">
      <c r="A26">
        <v>8</v>
      </c>
      <c r="B26" t="s">
        <v>8</v>
      </c>
      <c r="C26" t="s">
        <v>10</v>
      </c>
      <c r="D26" s="3">
        <v>65</v>
      </c>
      <c r="E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Gandhi</dc:creator>
  <cp:lastModifiedBy>Varsha Gandhi</cp:lastModifiedBy>
  <dcterms:created xsi:type="dcterms:W3CDTF">2026-04-28T07:18:52Z</dcterms:created>
  <dcterms:modified xsi:type="dcterms:W3CDTF">2026-04-29T08:11:19Z</dcterms:modified>
</cp:coreProperties>
</file>