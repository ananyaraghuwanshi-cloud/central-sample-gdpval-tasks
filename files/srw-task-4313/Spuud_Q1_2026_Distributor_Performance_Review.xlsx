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osite Scores" sheetId="2" state="visible" r:id="rId4"/>
    <sheet name="Tier Classification" sheetId="3" state="visible" r:id="rId5"/>
    <sheet name="Top-2 Concentration" sheetId="4" state="visible" r:id="rId6"/>
    <sheet name="Q2 Actions" sheetId="5" state="visible" r:id="rId7"/>
    <sheet name="Weekly Volume" sheetId="6" state="visible" r:id="rId8"/>
    <sheet name="Weekly Trends" sheetId="7" state="visible" r:id="rId9"/>
    <sheet name="Composite Ranking" sheetId="8" state="visible" r:id="rId10"/>
  </sheets>
  <calcPr iterateCount="100" refMode="A1" iterate="false" iterateDelta="0.0001"/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2" authorId="0">
      <text>
        <r>
          <rPr>
            <sz val="10"/>
            <rFont val="Arial"/>
            <family val="2"/>
          </rPr>
          <t xml:space="preserve">Recurring; reported $1,041,200 less $50,000 one-time bulk order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Reported $1,041,200 less $50,000 one-time bulk order</t>
        </r>
      </text>
    </comment>
  </commentList>
</comments>
</file>

<file path=xl/sharedStrings.xml><?xml version="1.0" encoding="utf-8"?>
<sst xmlns="http://schemas.openxmlformats.org/spreadsheetml/2006/main" count="283" uniqueCount="129">
  <si>
    <t xml:space="preserve">Spuud Wholesale Distribution Co</t>
  </si>
  <si>
    <t xml:space="preserve">Q1 2026 Distributor Performance Review</t>
  </si>
  <si>
    <t xml:space="preserve">As of April 10, 2026</t>
  </si>
  <si>
    <t xml:space="preserve">Composite Performance Ranking (Q1 2026)</t>
  </si>
  <si>
    <t xml:space="preserve">Rank</t>
  </si>
  <si>
    <t xml:space="preserve">Distributor</t>
  </si>
  <si>
    <t xml:space="preserve">Region</t>
  </si>
  <si>
    <t xml:space="preserve">Recurring Sales</t>
  </si>
  <si>
    <t xml:space="preserve">Margin %</t>
  </si>
  <si>
    <t xml:space="preserve">Sell-Through %</t>
  </si>
  <si>
    <t xml:space="preserve">Composite Score</t>
  </si>
  <si>
    <t xml:space="preserve">Caldwell Distribution Group</t>
  </si>
  <si>
    <t xml:space="preserve">East</t>
  </si>
  <si>
    <t xml:space="preserve">Whitfield Industrial Supply</t>
  </si>
  <si>
    <t xml:space="preserve">Central</t>
  </si>
  <si>
    <t xml:space="preserve">Pemberton Wholesale Partners</t>
  </si>
  <si>
    <t xml:space="preserve">Marquette Distribution Co</t>
  </si>
  <si>
    <t xml:space="preserve">West</t>
  </si>
  <si>
    <t xml:space="preserve">Rampart Trade Services</t>
  </si>
  <si>
    <t xml:space="preserve">Devereaux Wholesale</t>
  </si>
  <si>
    <t xml:space="preserve">Tier Classification and Movement (Q1 2025 -&gt; Q1 2026)</t>
  </si>
  <si>
    <t xml:space="preserve">Q1 2025 Tier</t>
  </si>
  <si>
    <t xml:space="preserve">Q1 2026 Tier</t>
  </si>
  <si>
    <t xml:space="preserve">Movement</t>
  </si>
  <si>
    <t xml:space="preserve">Q2 Recommended Action</t>
  </si>
  <si>
    <t xml:space="preserve">Premier</t>
  </si>
  <si>
    <t xml:space="preserve">None</t>
  </si>
  <si>
    <t xml:space="preserve">Volume expansion</t>
  </si>
  <si>
    <t xml:space="preserve">Watch</t>
  </si>
  <si>
    <t xml:space="preserve">Remediation</t>
  </si>
  <si>
    <t xml:space="preserve">Portfolio Concentration</t>
  </si>
  <si>
    <t xml:space="preserve">Top-2 Distributor Concentration</t>
  </si>
  <si>
    <t xml:space="preserve">Q1 2026 Tier Mix</t>
  </si>
  <si>
    <t xml:space="preserve">Tier</t>
  </si>
  <si>
    <t xml:space="preserve">Distributors</t>
  </si>
  <si>
    <t xml:space="preserve">Count</t>
  </si>
  <si>
    <t xml:space="preserve">Caldwell, Whitfield</t>
  </si>
  <si>
    <t xml:space="preserve">Standard</t>
  </si>
  <si>
    <t xml:space="preserve">(none)</t>
  </si>
  <si>
    <t xml:space="preserve">Pemberton, Marquette, Rampart, Devereaux</t>
  </si>
  <si>
    <t xml:space="preserve">Composite Performance Score Calculation</t>
  </si>
  <si>
    <t xml:space="preserve">Regional Weights</t>
  </si>
  <si>
    <t xml:space="preserve">Weight</t>
  </si>
  <si>
    <t xml:space="preserve">Source</t>
  </si>
  <si>
    <t xml:space="preserve">Methodology PDF</t>
  </si>
  <si>
    <t xml:space="preserve">Q1 2026</t>
  </si>
  <si>
    <t xml:space="preserve">ID</t>
  </si>
  <si>
    <t xml:space="preserve">Sales Component</t>
  </si>
  <si>
    <t xml:space="preserve">Margin Component</t>
  </si>
  <si>
    <t xml:space="preserve">Composite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</si>
  <si>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</si>
  <si>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</si>
  <si>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</si>
  <si>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</si>
  <si>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</si>
  <si>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</si>
  <si>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Q1 2025 Baseline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</si>
  <si>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</si>
  <si>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</si>
  <si>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</si>
  <si>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</si>
  <si>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</si>
  <si>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</si>
  <si>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Tier Classification with Override Triggers</t>
  </si>
  <si>
    <t xml:space="preserve">Q1 2026 Tier Classification</t>
  </si>
  <si>
    <t xml:space="preserve">ST %</t>
  </si>
  <si>
    <t xml:space="preserve">ST_close</t>
  </si>
  <si>
    <t xml:space="preserve">Override Trigger</t>
  </si>
  <si>
    <t xml:space="preserve">None (passes all 3 Premier conditions)</t>
  </si>
  <si>
    <t xml:space="preserve">ST_close 4.8 &lt; 5.0</t>
  </si>
  <si>
    <t xml:space="preserve">ST_close 4.7 &lt; 5.0 (period-avg 5.0 would pass; close used per rule)</t>
  </si>
  <si>
    <t xml:space="preserve">Margin 5.9% &lt; 6.5%</t>
  </si>
  <si>
    <t xml:space="preserve">Margin 6.4% &lt; 6.5%</t>
  </si>
  <si>
    <t xml:space="preserve">Q1 2025 Baseline Reference</t>
  </si>
  <si>
    <t xml:space="preserve">None (ST_close 5.0 boundary; rule is strict less-than 5.0)</t>
  </si>
  <si>
    <t xml:space="preserve">ST_close 4.6 &lt; 5.0</t>
  </si>
  <si>
    <t xml:space="preserve">Margin 6.2% &lt; 6.5%</t>
  </si>
  <si>
    <t xml:space="preserve">ST_close 4.2 &lt; 5.0</t>
  </si>
  <si>
    <t xml:space="preserve">Portfolio Concentration: Top-2 Distributor Share</t>
  </si>
  <si>
    <t xml:space="preserve">Reported Sales</t>
  </si>
  <si>
    <t xml:space="preserve">One-Time Adj.</t>
  </si>
  <si>
    <t xml:space="preserve">Portfolio Total</t>
  </si>
  <si>
    <t xml:space="preserve">Top-2 Concentration Calculation</t>
  </si>
  <si>
    <t xml:space="preserve">Top-1 Recurring Sales (largest)</t>
  </si>
  <si>
    <t xml:space="preserve">Top-2 Recurring Sales (second largest)</t>
  </si>
  <si>
    <t xml:space="preserve">Combined Top-2 Recurring Sales</t>
  </si>
  <si>
    <t xml:space="preserve">Total Recurring Portfolio (denominator)</t>
  </si>
  <si>
    <t xml:space="preserve">Q2 2026 Recommended Actions</t>
  </si>
  <si>
    <t xml:space="preserve">Action Category</t>
  </si>
  <si>
    <t xml:space="preserve">Q2 Action Detail</t>
  </si>
  <si>
    <t xml:space="preserve">Volume expansion. Increase SKU allocation and fund Q2 co-marketing investment. Caldwell led portfolio weekly close volume in all 13 weeks of Q1 2026, with weekly volume building from $70,500 in W/E Jan 4 to a peak of $86,500 in W/E Mar 22 before easing to $77,600 in the final week.</t>
  </si>
  <si>
    <t xml:space="preserve">Volume expansion. Increase SKU allocation and pursue co-marketing in Central region. Whitfield ranked #2 in portfolio weekly close volume from W/E Jan 11 onward (12 of 13 weeks), building from $53,500 in W/E Jan 4 to a peak of $76,800 in W/E Mar 22 before a sharp final-week dip to $61,800. The final-week dip warrants a check before increasing committed volume.</t>
  </si>
  <si>
    <t xml:space="preserve">Remediation. Terms review and 90-day performance plan with re-assessment at end of Q2. Pemberton's weekly close volume showed eight consecutive weekly declines following the Feb 1 peak of $62,500, falling to $47,200 by W/E Mar 29. The full Feb-to-March trajectory points to a sustained sell-through problem in the East region, not a one-week miss.</t>
  </si>
  <si>
    <t xml:space="preserve">Remediation. Terms review and 90-day performance plan focused on margin recovery (margin trailing the methodology threshold). Despite the tier classification, Marquette's weekly close volume showed multi-week sequential growth, rising from $44,600 in W/E Jan 4 to $53,700 in W/E Mar 22 (a demand build of approximately 20%), with a modest pullback to $50,500 in the final week. The growth signal supports the remediation direction and a margin-focused workplan rather than a volume reduction.</t>
  </si>
  <si>
    <t xml:space="preserve">Remediation. Terms review and 90-day performance plan with margin remediation as the primary lever. Rampart's weekly close volume showed sustained decline from the W/E Jan 4 starting value of $42,800 through W/E Mar 8 (nine straight weekly declines to $35,200), then flattened in the high $35K's through quarter-end ($35,900 in W/E Mar 29). The weak demand picture combines with the sub-threshold margin to make this the highest-risk Watch account.</t>
  </si>
  <si>
    <t xml:space="preserve">Remediation. Terms review and 90-day performance plan; primary driver is sub-threshold margin (6.4% versus the 6.5% floor). The volume picture is constructive: Devereaux's weekly close volume rose from $29,900 in W/E Jan 4 to a late-Q1 peak of $38,700 in W/E Mar 22 (nine straight weekly increases over W1-W10). The remediation should be margin-focused rather than volume-focused.</t>
  </si>
  <si>
    <t xml:space="preserve">Q1 2026 Weekly Close Volume by Distributor</t>
  </si>
  <si>
    <t xml:space="preserve">W/E Jan 4</t>
  </si>
  <si>
    <t xml:space="preserve">W/E Jan 11</t>
  </si>
  <si>
    <t xml:space="preserve">W/E Jan 18</t>
  </si>
  <si>
    <t xml:space="preserve">W/E Jan 25</t>
  </si>
  <si>
    <t xml:space="preserve">W/E Feb 1</t>
  </si>
  <si>
    <t xml:space="preserve">W/E Feb 8</t>
  </si>
  <si>
    <t xml:space="preserve">W/E Feb 15</t>
  </si>
  <si>
    <t xml:space="preserve">W/E Feb 22</t>
  </si>
  <si>
    <t xml:space="preserve">W/E Mar 1</t>
  </si>
  <si>
    <t xml:space="preserve">W/E Mar 8</t>
  </si>
  <si>
    <t xml:space="preserve">W/E Mar 15</t>
  </si>
  <si>
    <t xml:space="preserve">W/E Mar 22</t>
  </si>
  <si>
    <t xml:space="preserve">W/E Mar 29</t>
  </si>
  <si>
    <t xml:space="preserve">Q1 Total</t>
  </si>
  <si>
    <t xml:space="preserve">Q1 Avg</t>
  </si>
  <si>
    <t xml:space="preserve">W1 -&gt; W13</t>
  </si>
  <si>
    <t xml:space="preserve">Sustained Patterns and Risk Observations</t>
  </si>
  <si>
    <t xml:space="preserve">#1 in portfolio weekly close volume across all 13 weeks of Q1. Strong build from $70,500 (W/E Jan 4) to peak $86,500 (W/E Mar 22), late-quarter pullback to $77,600 (W/E Mar 29).</t>
  </si>
  <si>
    <t xml:space="preserve">Ranked #2 in portfolio weekly close volume from W/E Jan 11 onward (12 of 13 weeks). Build from $53,500 (W/E Jan 4) to peak $76,800 (W/E Mar 22), sharp final-week dip to $61,800 (W/E Mar 29). Final-week dip warrants a check before adding committed volume.</t>
  </si>
  <si>
    <t xml:space="preserve">Eight consecutive weekly declines after the Feb 1 peak of $62,500, falling to $47,200 in W/E Mar 29. Sustained sell-through problem in East region; not a one-week miss.</t>
  </si>
  <si>
    <t xml:space="preserve">Multi-week sequential growth: $44,600 in W/E Jan 4 to $53,700 in W/E Mar 22 (~20% demand build), late-quarter dip to $50,500. Volume signal does not support volume reduction; remediation should focus on margin.</t>
  </si>
  <si>
    <t xml:space="preserve">Nine consecutive weekly declines from $42,800 (W/E Jan 4) to $35,200 (W/E Mar 8), then flat in the high $35K's through W/E Mar 29. Highest-risk Watch account by combined margin + demand signal.</t>
  </si>
  <si>
    <t xml:space="preserve">Multi-week sequential growth: nine straight weekly increases over W/E Jan 4 ($29,900) through W/E Mar 8 ($37,900), peaking at $38,700 in W/E Mar 22. Volume picture is constructive; remediation should focus on margin (6.4% versus 6.5% floor).</t>
  </si>
  <si>
    <t xml:space="preserve">Weekly Close Volume Crossings (Q1 2026)</t>
  </si>
  <si>
    <t xml:space="preserve">#1</t>
  </si>
  <si>
    <t xml:space="preserve">Crossing 1 (W/E Jan 4 -&gt; W/E Jan 11): Whitfield passes Pemberton. Pre $54,000 / $53,500 (Pemberton +$500); post $57,900 / $58,300 (Whitfield +$400). $900 swing. Whitfield holds #2 from this point onward.</t>
  </si>
  <si>
    <t xml:space="preserve">#2</t>
  </si>
  <si>
    <t xml:space="preserve">Crossing 2 (W/E Feb 15 -&gt; W/E Feb 22): Devereaux passes Rampart. Pre $37,500 / $36,200 (Rampart +$1,300); post $36,700 / $36,900 (Devereaux +$200). $1,500 swing.</t>
  </si>
  <si>
    <t xml:space="preserve">#3</t>
  </si>
  <si>
    <t xml:space="preserve">Crossing 3 (W/E Mar 15 -&gt; W/E Mar 22): Marquette passes Pemberton. Pre $54,000 / $51,700 (Pemberton +$2,300); post $52,300 / $53,700 (Marquette +$1,400). $3,700 swing.</t>
  </si>
  <si>
    <t xml:space="preserve">Q1 2026 Weekly Close Volume Trend by Distributor</t>
  </si>
  <si>
    <t xml:space="preserve">Q1 2026 Composite Performance Score by Distributor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</si>
</sst>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"/>
    <numFmt numFmtId="167" formatCode="0.0%"/>
    <numFmt numFmtId="168" formatCode="0.00"/>
    <numFmt numFmtId="169" formatCode="0.000"/>
    <numFmt numFmtId="170" formatCode="#,##0"/>
    <numFmt numFmtId="171" formatCode="\$#,##0;[RED]&quot;($&quot;#,##0\)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sz val="10"/>
      <name val="Arial"/>
      <family val="2"/>
    </font>
    <font>
      <b val="true"/>
      <sz val="12"/>
      <color rgb="FFC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9E1F2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808080"/>
      <rgbColor rgb="FF8EA9DB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ED7D31"/>
      <rgbColor rgb="FF595959"/>
      <rgbColor rgb="FF969696"/>
      <rgbColor rgb="FF1F3864"/>
      <rgbColor rgb="FF339966"/>
      <rgbColor rgb="FF003300"/>
      <rgbColor rgb="FF333300"/>
      <rgbColor rgb="FFC65911"/>
      <rgbColor rgb="FF993366"/>
      <rgbColor rgb="FF33339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Q1 2026 Weekly Close Volume by Distributor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Volume'!A5</c:f>
              <c:strCache>
                <c:ptCount val="1"/>
                <c:pt idx="0">
                  <c:v>Caldwell Distribution Group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Volume'!$B$4:$N$4</c:f>
              <c:strCache>
                <c:ptCount val="13"/>
                <c:pt idx="0">
                  <c:v>W/E Jan 4</c:v>
                </c:pt>
                <c:pt idx="1">
                  <c:v>W/E Jan 11</c:v>
                </c:pt>
                <c:pt idx="2">
                  <c:v>W/E Jan 18</c:v>
                </c:pt>
                <c:pt idx="3">
                  <c:v>W/E Jan 25</c:v>
                </c:pt>
                <c:pt idx="4">
                  <c:v>W/E Feb 1</c:v>
                </c:pt>
                <c:pt idx="5">
                  <c:v>W/E Feb 8</c:v>
                </c:pt>
                <c:pt idx="6">
                  <c:v>W/E Feb 15</c:v>
                </c:pt>
                <c:pt idx="7">
                  <c:v>W/E Feb 22</c:v>
                </c:pt>
                <c:pt idx="8">
                  <c:v>W/E Mar 1</c:v>
                </c:pt>
                <c:pt idx="9">
                  <c:v>W/E Mar 8</c:v>
                </c:pt>
                <c:pt idx="10">
                  <c:v>W/E Mar 15</c:v>
                </c:pt>
                <c:pt idx="11">
                  <c:v>W/E Mar 22</c:v>
                </c:pt>
                <c:pt idx="12">
                  <c:v>W/E Mar 29</c:v>
                </c:pt>
              </c:strCache>
            </c:strRef>
          </c:cat>
          <c:val>
            <c:numRef>
              <c:f>'Weekly Volume'!$B$5:$N$5</c:f>
              <c:numCache>
                <c:formatCode>#,##0</c:formatCode>
                <c:ptCount val="13"/>
                <c:pt idx="0">
                  <c:v>70500</c:v>
                </c:pt>
                <c:pt idx="1">
                  <c:v>73700</c:v>
                </c:pt>
                <c:pt idx="2">
                  <c:v>76100</c:v>
                </c:pt>
                <c:pt idx="3">
                  <c:v>78500</c:v>
                </c:pt>
                <c:pt idx="4">
                  <c:v>80900</c:v>
                </c:pt>
                <c:pt idx="5">
                  <c:v>80100</c:v>
                </c:pt>
                <c:pt idx="6">
                  <c:v>82500</c:v>
                </c:pt>
                <c:pt idx="7">
                  <c:v>83300</c:v>
                </c:pt>
                <c:pt idx="8">
                  <c:v>81700</c:v>
                </c:pt>
                <c:pt idx="9">
                  <c:v>84100</c:v>
                </c:pt>
                <c:pt idx="10">
                  <c:v>85700</c:v>
                </c:pt>
                <c:pt idx="11">
                  <c:v>86500</c:v>
                </c:pt>
                <c:pt idx="12">
                  <c:v>77600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'Weekly Volume'!A6</c:f>
              <c:strCache>
                <c:ptCount val="1"/>
                <c:pt idx="0">
                  <c:v>Whitfield Industrial Supply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Volume'!$B$4:$N$4</c:f>
              <c:strCache>
                <c:ptCount val="13"/>
                <c:pt idx="0">
                  <c:v>W/E Jan 4</c:v>
                </c:pt>
                <c:pt idx="1">
                  <c:v>W/E Jan 11</c:v>
                </c:pt>
                <c:pt idx="2">
                  <c:v>W/E Jan 18</c:v>
                </c:pt>
                <c:pt idx="3">
                  <c:v>W/E Jan 25</c:v>
                </c:pt>
                <c:pt idx="4">
                  <c:v>W/E Feb 1</c:v>
                </c:pt>
                <c:pt idx="5">
                  <c:v>W/E Feb 8</c:v>
                </c:pt>
                <c:pt idx="6">
                  <c:v>W/E Feb 15</c:v>
                </c:pt>
                <c:pt idx="7">
                  <c:v>W/E Feb 22</c:v>
                </c:pt>
                <c:pt idx="8">
                  <c:v>W/E Mar 1</c:v>
                </c:pt>
                <c:pt idx="9">
                  <c:v>W/E Mar 8</c:v>
                </c:pt>
                <c:pt idx="10">
                  <c:v>W/E Mar 15</c:v>
                </c:pt>
                <c:pt idx="11">
                  <c:v>W/E Mar 22</c:v>
                </c:pt>
                <c:pt idx="12">
                  <c:v>W/E Mar 29</c:v>
                </c:pt>
              </c:strCache>
            </c:strRef>
          </c:cat>
          <c:val>
            <c:numRef>
              <c:f>'Weekly Volume'!$B$6:$N$6</c:f>
              <c:numCache>
                <c:formatCode>#,##0</c:formatCode>
                <c:ptCount val="13"/>
                <c:pt idx="0">
                  <c:v>53500</c:v>
                </c:pt>
                <c:pt idx="1">
                  <c:v>58300</c:v>
                </c:pt>
                <c:pt idx="2">
                  <c:v>63100</c:v>
                </c:pt>
                <c:pt idx="3">
                  <c:v>67200</c:v>
                </c:pt>
                <c:pt idx="4">
                  <c:v>71300</c:v>
                </c:pt>
                <c:pt idx="5">
                  <c:v>73400</c:v>
                </c:pt>
                <c:pt idx="6">
                  <c:v>74100</c:v>
                </c:pt>
                <c:pt idx="7">
                  <c:v>72700</c:v>
                </c:pt>
                <c:pt idx="8">
                  <c:v>71300</c:v>
                </c:pt>
                <c:pt idx="9">
                  <c:v>72700</c:v>
                </c:pt>
                <c:pt idx="10">
                  <c:v>75400</c:v>
                </c:pt>
                <c:pt idx="11">
                  <c:v>76800</c:v>
                </c:pt>
                <c:pt idx="12">
                  <c:v>61800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'Weekly Volume'!A7</c:f>
              <c:strCache>
                <c:ptCount val="1"/>
                <c:pt idx="0">
                  <c:v>Pemberton Wholesale Partners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Volume'!$B$4:$N$4</c:f>
              <c:strCache>
                <c:ptCount val="13"/>
                <c:pt idx="0">
                  <c:v>W/E Jan 4</c:v>
                </c:pt>
                <c:pt idx="1">
                  <c:v>W/E Jan 11</c:v>
                </c:pt>
                <c:pt idx="2">
                  <c:v>W/E Jan 18</c:v>
                </c:pt>
                <c:pt idx="3">
                  <c:v>W/E Jan 25</c:v>
                </c:pt>
                <c:pt idx="4">
                  <c:v>W/E Feb 1</c:v>
                </c:pt>
                <c:pt idx="5">
                  <c:v>W/E Feb 8</c:v>
                </c:pt>
                <c:pt idx="6">
                  <c:v>W/E Feb 15</c:v>
                </c:pt>
                <c:pt idx="7">
                  <c:v>W/E Feb 22</c:v>
                </c:pt>
                <c:pt idx="8">
                  <c:v>W/E Mar 1</c:v>
                </c:pt>
                <c:pt idx="9">
                  <c:v>W/E Mar 8</c:v>
                </c:pt>
                <c:pt idx="10">
                  <c:v>W/E Mar 15</c:v>
                </c:pt>
                <c:pt idx="11">
                  <c:v>W/E Mar 22</c:v>
                </c:pt>
                <c:pt idx="12">
                  <c:v>W/E Mar 29</c:v>
                </c:pt>
              </c:strCache>
            </c:strRef>
          </c:cat>
          <c:val>
            <c:numRef>
              <c:f>'Weekly Volume'!$B$7:$N$7</c:f>
              <c:numCache>
                <c:formatCode>#,##0</c:formatCode>
                <c:ptCount val="13"/>
                <c:pt idx="0">
                  <c:v>54000</c:v>
                </c:pt>
                <c:pt idx="1">
                  <c:v>57900</c:v>
                </c:pt>
                <c:pt idx="2">
                  <c:v>59600</c:v>
                </c:pt>
                <c:pt idx="3">
                  <c:v>61400</c:v>
                </c:pt>
                <c:pt idx="4">
                  <c:v>62500</c:v>
                </c:pt>
                <c:pt idx="5">
                  <c:v>60800</c:v>
                </c:pt>
                <c:pt idx="6">
                  <c:v>59600</c:v>
                </c:pt>
                <c:pt idx="7">
                  <c:v>57900</c:v>
                </c:pt>
                <c:pt idx="8">
                  <c:v>56200</c:v>
                </c:pt>
                <c:pt idx="9">
                  <c:v>55100</c:v>
                </c:pt>
                <c:pt idx="10">
                  <c:v>54000</c:v>
                </c:pt>
                <c:pt idx="11">
                  <c:v>52300</c:v>
                </c:pt>
                <c:pt idx="12">
                  <c:v>47200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'Weekly Volume'!A8</c:f>
              <c:strCache>
                <c:ptCount val="1"/>
                <c:pt idx="0">
                  <c:v>Marquette Distribution Co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Volume'!$B$4:$N$4</c:f>
              <c:strCache>
                <c:ptCount val="13"/>
                <c:pt idx="0">
                  <c:v>W/E Jan 4</c:v>
                </c:pt>
                <c:pt idx="1">
                  <c:v>W/E Jan 11</c:v>
                </c:pt>
                <c:pt idx="2">
                  <c:v>W/E Jan 18</c:v>
                </c:pt>
                <c:pt idx="3">
                  <c:v>W/E Jan 25</c:v>
                </c:pt>
                <c:pt idx="4">
                  <c:v>W/E Feb 1</c:v>
                </c:pt>
                <c:pt idx="5">
                  <c:v>W/E Feb 8</c:v>
                </c:pt>
                <c:pt idx="6">
                  <c:v>W/E Feb 15</c:v>
                </c:pt>
                <c:pt idx="7">
                  <c:v>W/E Feb 22</c:v>
                </c:pt>
                <c:pt idx="8">
                  <c:v>W/E Mar 1</c:v>
                </c:pt>
                <c:pt idx="9">
                  <c:v>W/E Mar 8</c:v>
                </c:pt>
                <c:pt idx="10">
                  <c:v>W/E Mar 15</c:v>
                </c:pt>
                <c:pt idx="11">
                  <c:v>W/E Mar 22</c:v>
                </c:pt>
                <c:pt idx="12">
                  <c:v>W/E Mar 29</c:v>
                </c:pt>
              </c:strCache>
            </c:strRef>
          </c:cat>
          <c:val>
            <c:numRef>
              <c:f>'Weekly Volume'!$B$8:$N$8</c:f>
              <c:numCache>
                <c:formatCode>#,##0</c:formatCode>
                <c:ptCount val="13"/>
                <c:pt idx="0">
                  <c:v>44600</c:v>
                </c:pt>
                <c:pt idx="1">
                  <c:v>47600</c:v>
                </c:pt>
                <c:pt idx="2">
                  <c:v>48600</c:v>
                </c:pt>
                <c:pt idx="3">
                  <c:v>50100</c:v>
                </c:pt>
                <c:pt idx="4">
                  <c:v>51200</c:v>
                </c:pt>
                <c:pt idx="5">
                  <c:v>50600</c:v>
                </c:pt>
                <c:pt idx="6">
                  <c:v>51700</c:v>
                </c:pt>
                <c:pt idx="7">
                  <c:v>52200</c:v>
                </c:pt>
                <c:pt idx="8">
                  <c:v>53200</c:v>
                </c:pt>
                <c:pt idx="9">
                  <c:v>52700</c:v>
                </c:pt>
                <c:pt idx="10">
                  <c:v>51700</c:v>
                </c:pt>
                <c:pt idx="11">
                  <c:v>53700</c:v>
                </c:pt>
                <c:pt idx="12">
                  <c:v>50500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'Weekly Volume'!A9</c:f>
              <c:strCache>
                <c:ptCount val="1"/>
                <c:pt idx="0">
                  <c:v>Rampart Trade Services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Volume'!$B$4:$N$4</c:f>
              <c:strCache>
                <c:ptCount val="13"/>
                <c:pt idx="0">
                  <c:v>W/E Jan 4</c:v>
                </c:pt>
                <c:pt idx="1">
                  <c:v>W/E Jan 11</c:v>
                </c:pt>
                <c:pt idx="2">
                  <c:v>W/E Jan 18</c:v>
                </c:pt>
                <c:pt idx="3">
                  <c:v>W/E Jan 25</c:v>
                </c:pt>
                <c:pt idx="4">
                  <c:v>W/E Feb 1</c:v>
                </c:pt>
                <c:pt idx="5">
                  <c:v>W/E Feb 8</c:v>
                </c:pt>
                <c:pt idx="6">
                  <c:v>W/E Feb 15</c:v>
                </c:pt>
                <c:pt idx="7">
                  <c:v>W/E Feb 22</c:v>
                </c:pt>
                <c:pt idx="8">
                  <c:v>W/E Mar 1</c:v>
                </c:pt>
                <c:pt idx="9">
                  <c:v>W/E Mar 8</c:v>
                </c:pt>
                <c:pt idx="10">
                  <c:v>W/E Mar 15</c:v>
                </c:pt>
                <c:pt idx="11">
                  <c:v>W/E Mar 22</c:v>
                </c:pt>
                <c:pt idx="12">
                  <c:v>W/E Mar 29</c:v>
                </c:pt>
              </c:strCache>
            </c:strRef>
          </c:cat>
          <c:val>
            <c:numRef>
              <c:f>'Weekly Volume'!$B$9:$N$9</c:f>
              <c:numCache>
                <c:formatCode>#,##0</c:formatCode>
                <c:ptCount val="13"/>
                <c:pt idx="0">
                  <c:v>42800</c:v>
                </c:pt>
                <c:pt idx="1">
                  <c:v>42100</c:v>
                </c:pt>
                <c:pt idx="2">
                  <c:v>41300</c:v>
                </c:pt>
                <c:pt idx="3">
                  <c:v>40200</c:v>
                </c:pt>
                <c:pt idx="4">
                  <c:v>39000</c:v>
                </c:pt>
                <c:pt idx="5">
                  <c:v>38300</c:v>
                </c:pt>
                <c:pt idx="6">
                  <c:v>37500</c:v>
                </c:pt>
                <c:pt idx="7">
                  <c:v>36700</c:v>
                </c:pt>
                <c:pt idx="8">
                  <c:v>36000</c:v>
                </c:pt>
                <c:pt idx="9">
                  <c:v>35200</c:v>
                </c:pt>
                <c:pt idx="10">
                  <c:v>36000</c:v>
                </c:pt>
                <c:pt idx="11">
                  <c:v>36300</c:v>
                </c:pt>
                <c:pt idx="12">
                  <c:v>35900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'Weekly Volume'!A10</c:f>
              <c:strCache>
                <c:ptCount val="1"/>
                <c:pt idx="0">
                  <c:v>Devereaux Wholesale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Volume'!$B$4:$N$4</c:f>
              <c:strCache>
                <c:ptCount val="13"/>
                <c:pt idx="0">
                  <c:v>W/E Jan 4</c:v>
                </c:pt>
                <c:pt idx="1">
                  <c:v>W/E Jan 11</c:v>
                </c:pt>
                <c:pt idx="2">
                  <c:v>W/E Jan 18</c:v>
                </c:pt>
                <c:pt idx="3">
                  <c:v>W/E Jan 25</c:v>
                </c:pt>
                <c:pt idx="4">
                  <c:v>W/E Feb 1</c:v>
                </c:pt>
                <c:pt idx="5">
                  <c:v>W/E Feb 8</c:v>
                </c:pt>
                <c:pt idx="6">
                  <c:v>W/E Feb 15</c:v>
                </c:pt>
                <c:pt idx="7">
                  <c:v>W/E Feb 22</c:v>
                </c:pt>
                <c:pt idx="8">
                  <c:v>W/E Mar 1</c:v>
                </c:pt>
                <c:pt idx="9">
                  <c:v>W/E Mar 8</c:v>
                </c:pt>
                <c:pt idx="10">
                  <c:v>W/E Mar 15</c:v>
                </c:pt>
                <c:pt idx="11">
                  <c:v>W/E Mar 22</c:v>
                </c:pt>
                <c:pt idx="12">
                  <c:v>W/E Mar 29</c:v>
                </c:pt>
              </c:strCache>
            </c:strRef>
          </c:cat>
          <c:val>
            <c:numRef>
              <c:f>'Weekly Volume'!$B$10:$N$10</c:f>
              <c:numCache>
                <c:formatCode>#,##0</c:formatCode>
                <c:ptCount val="13"/>
                <c:pt idx="0">
                  <c:v>29900</c:v>
                </c:pt>
                <c:pt idx="1">
                  <c:v>30900</c:v>
                </c:pt>
                <c:pt idx="2">
                  <c:v>32300</c:v>
                </c:pt>
                <c:pt idx="3">
                  <c:v>33400</c:v>
                </c:pt>
                <c:pt idx="4">
                  <c:v>34400</c:v>
                </c:pt>
                <c:pt idx="5">
                  <c:v>35100</c:v>
                </c:pt>
                <c:pt idx="6">
                  <c:v>36200</c:v>
                </c:pt>
                <c:pt idx="7">
                  <c:v>36900</c:v>
                </c:pt>
                <c:pt idx="8">
                  <c:v>37200</c:v>
                </c:pt>
                <c:pt idx="9">
                  <c:v>37900</c:v>
                </c:pt>
                <c:pt idx="10">
                  <c:v>37600</c:v>
                </c:pt>
                <c:pt idx="11">
                  <c:v>38700</c:v>
                </c:pt>
                <c:pt idx="12">
                  <c:v>36300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503602"/>
        <c:axId val="68704846"/>
      </c:lineChart>
      <c:catAx>
        <c:axId val="255036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Ending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04846"/>
        <c:crosses val="autoZero"/>
        <c:auto val="1"/>
        <c:lblAlgn val="ctr"/>
        <c:lblOffset val="100"/>
        <c:noMultiLvlLbl val="0"/>
      </c:catAx>
      <c:valAx>
        <c:axId val="687048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Weekly Close Volume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03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Q1 2026 Composite Performance Score (Distributor Ranking)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'Composite Ranking'!B4</c:f>
              <c:strCache>
                <c:ptCount val="1"/>
                <c:pt idx="0">
                  <c:v>Composite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'Composite Ranking'!$A$5:$A$10</c:f>
              <c:strCache>
                <c:ptCount val="6"/>
                <c:pt idx="0">
                  <c:v>Caldwell Distribution Group</c:v>
                </c:pt>
                <c:pt idx="1">
                  <c:v>Whitfield Industrial Supply</c:v>
                </c:pt>
                <c:pt idx="2">
                  <c:v>Pemberton Wholesale Partners</c:v>
                </c:pt>
                <c:pt idx="3">
                  <c:v>Marquette Distribution Co</c:v>
                </c:pt>
                <c:pt idx="4">
                  <c:v>Rampart Trade Services</c:v>
                </c:pt>
                <c:pt idx="5">
                  <c:v>Devereaux Wholesale</c:v>
                </c:pt>
              </c:strCache>
            </c:strRef>
          </c:cat>
          <c:val>
            <c:numRef>
              <c:f>'Composite Ranking'!$B$5:$B$10</c:f>
              <c:numCache>
                <c:formatCode>0.0</c:formatCode>
                <c:ptCount val="6"/>
                <c:pt idx="0">
                  <c:v>63</c:v>
                </c:pt>
                <c:pt idx="1">
                  <c:v>54.8</c:v>
                </c:pt>
                <c:pt idx="2">
                  <c:v>52.4</c:v>
                </c:pt>
                <c:pt idx="3">
                  <c:v>41.2</c:v>
                </c:pt>
                <c:pt idx="4">
                  <c:v>37.4</c:v>
                </c:pt>
                <c:pt idx="5">
                  <c:v>34.1</c:v>
                </c:pt>
              </c:numCache>
            </c:numRef>
          </c:val>
        </c:ser>
        <c:gapWidth val="150"/>
        <c:overlap val="0"/>
        <c:axId val="43760035"/>
        <c:axId val="53957540"/>
      </c:barChart>
      <c:catAx>
        <c:axId val="4376003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Composite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57540"/>
        <c:crosses val="autoZero"/>
        <c:auto val="1"/>
        <c:lblAlgn val="ctr"/>
        <c:lblOffset val="100"/>
        <c:noMultiLvlLbl val="0"/>
      </c:catAx>
      <c:valAx>
        <c:axId val="539575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Distributor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60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14</xdr:col>
      <xdr:colOff>77760</xdr:colOff>
      <xdr:row>27</xdr:row>
      <xdr:rowOff>106920</xdr:rowOff>
    </xdr:to>
    <xdr:graphicFrame>
      <xdr:nvGraphicFramePr>
        <xdr:cNvPr id="0" name="Chart 1"/>
        <xdr:cNvGraphicFramePr/>
      </xdr:nvGraphicFramePr>
      <xdr:xfrm>
        <a:off x="0" y="581040"/>
        <a:ext cx="863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14</xdr:col>
      <xdr:colOff>472680</xdr:colOff>
      <xdr:row>23</xdr:row>
      <xdr:rowOff>149400</xdr:rowOff>
    </xdr:to>
    <xdr:graphicFrame>
      <xdr:nvGraphicFramePr>
        <xdr:cNvPr id="1" name="Chart 1"/>
        <xdr:cNvGraphicFramePr/>
      </xdr:nvGraphicFramePr>
      <xdr:xfrm>
        <a:off x="3723120" y="581040"/>
        <a:ext cx="719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.43"/>
    <col collapsed="false" customWidth="true" hidden="false" outlineLevel="0" max="2" min="2" style="1" width="19.71"/>
    <col collapsed="false" customWidth="true" hidden="false" outlineLevel="0" max="3" min="3" style="1" width="11.85"/>
    <col collapsed="false" customWidth="true" hidden="false" outlineLevel="0" max="4" min="4" style="1" width="17.29"/>
    <col collapsed="false" customWidth="true" hidden="false" outlineLevel="0" max="5" min="5" style="1" width="11.43"/>
    <col collapsed="false" customWidth="true" hidden="false" outlineLevel="0" max="6" min="6" style="1" width="17.29"/>
    <col collapsed="false" customWidth="true" hidden="false" outlineLevel="0" max="7" min="7" style="1" width="19.57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</row>
    <row r="6" customFormat="false" ht="1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customFormat="false" ht="15" hidden="false" customHeight="true" outlineLevel="0" collapsed="false">
      <c r="A7" s="7" t="n">
        <v>1</v>
      </c>
      <c r="B7" s="8" t="s">
        <v>11</v>
      </c>
      <c r="C7" s="7" t="s">
        <v>12</v>
      </c>
      <c r="D7" s="9" t="n">
        <v>991200</v>
      </c>
      <c r="E7" s="10" t="n">
        <v>9.1</v>
      </c>
      <c r="F7" s="10" t="n">
        <v>75.4</v>
      </c>
      <c r="G7" s="11" t="n">
        <f aca="false">'Composite Scores'!I12</f>
        <v>63</v>
      </c>
    </row>
    <row r="8" customFormat="false" ht="15" hidden="false" customHeight="true" outlineLevel="0" collapsed="false">
      <c r="A8" s="7" t="n">
        <v>2</v>
      </c>
      <c r="B8" s="8" t="s">
        <v>13</v>
      </c>
      <c r="C8" s="7" t="s">
        <v>14</v>
      </c>
      <c r="D8" s="9" t="n">
        <v>891600</v>
      </c>
      <c r="E8" s="10" t="n">
        <v>8.5</v>
      </c>
      <c r="F8" s="10" t="n">
        <v>72.1</v>
      </c>
      <c r="G8" s="11" t="n">
        <f aca="false">'Composite Scores'!I13</f>
        <v>54.8</v>
      </c>
    </row>
    <row r="9" customFormat="false" ht="15" hidden="false" customHeight="true" outlineLevel="0" collapsed="false">
      <c r="A9" s="7" t="n">
        <v>3</v>
      </c>
      <c r="B9" s="8" t="s">
        <v>15</v>
      </c>
      <c r="C9" s="7" t="s">
        <v>12</v>
      </c>
      <c r="D9" s="9" t="n">
        <v>738500</v>
      </c>
      <c r="E9" s="10" t="n">
        <v>8.2</v>
      </c>
      <c r="F9" s="10" t="n">
        <v>69.4</v>
      </c>
      <c r="G9" s="11" t="n">
        <f aca="false">'Composite Scores'!I14</f>
        <v>52.4</v>
      </c>
    </row>
    <row r="10" customFormat="false" ht="15" hidden="false" customHeight="true" outlineLevel="0" collapsed="false">
      <c r="A10" s="7" t="n">
        <v>4</v>
      </c>
      <c r="B10" s="8" t="s">
        <v>16</v>
      </c>
      <c r="C10" s="7" t="s">
        <v>17</v>
      </c>
      <c r="D10" s="9" t="n">
        <v>658400</v>
      </c>
      <c r="E10" s="10" t="n">
        <v>7.4</v>
      </c>
      <c r="F10" s="10" t="n">
        <v>70.2</v>
      </c>
      <c r="G10" s="11" t="n">
        <f aca="false">'Composite Scores'!I15</f>
        <v>41.2</v>
      </c>
    </row>
    <row r="11" customFormat="false" ht="15" hidden="false" customHeight="true" outlineLevel="0" collapsed="false">
      <c r="A11" s="7" t="n">
        <v>5</v>
      </c>
      <c r="B11" s="8" t="s">
        <v>18</v>
      </c>
      <c r="C11" s="7" t="s">
        <v>14</v>
      </c>
      <c r="D11" s="9" t="n">
        <v>497300</v>
      </c>
      <c r="E11" s="10" t="n">
        <v>5.9</v>
      </c>
      <c r="F11" s="10" t="n">
        <v>62.8</v>
      </c>
      <c r="G11" s="11" t="n">
        <f aca="false">'Composite Scores'!I16</f>
        <v>37.4</v>
      </c>
    </row>
    <row r="12" customFormat="false" ht="15" hidden="false" customHeight="true" outlineLevel="0" collapsed="false">
      <c r="A12" s="7" t="n">
        <v>6</v>
      </c>
      <c r="B12" s="8" t="s">
        <v>19</v>
      </c>
      <c r="C12" s="7" t="s">
        <v>17</v>
      </c>
      <c r="D12" s="9" t="n">
        <v>456800</v>
      </c>
      <c r="E12" s="10" t="n">
        <v>6.4</v>
      </c>
      <c r="F12" s="10" t="n">
        <v>63.5</v>
      </c>
      <c r="G12" s="11" t="n">
        <f aca="false">'Composite Scores'!I17</f>
        <v>34.1</v>
      </c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</row>
    <row r="16" customFormat="false" ht="15" hidden="false" customHeight="true" outlineLevel="0" collapsed="false">
      <c r="A16" s="6" t="s">
        <v>5</v>
      </c>
      <c r="B16" s="6" t="s">
        <v>21</v>
      </c>
      <c r="C16" s="6" t="s">
        <v>22</v>
      </c>
      <c r="D16" s="6" t="s">
        <v>23</v>
      </c>
      <c r="E16" s="6"/>
      <c r="F16" s="6" t="s">
        <v>24</v>
      </c>
      <c r="G16" s="6"/>
    </row>
    <row r="17" customFormat="false" ht="15" hidden="false" customHeight="true" outlineLevel="0" collapsed="false">
      <c r="A17" s="8" t="s">
        <v>11</v>
      </c>
      <c r="B17" s="12" t="s">
        <v>25</v>
      </c>
      <c r="C17" s="12" t="s">
        <v>25</v>
      </c>
      <c r="D17" s="7" t="s">
        <v>26</v>
      </c>
      <c r="F17" s="8" t="s">
        <v>27</v>
      </c>
      <c r="G17" s="8"/>
    </row>
    <row r="18" customFormat="false" ht="15" hidden="false" customHeight="true" outlineLevel="0" collapsed="false">
      <c r="A18" s="8" t="s">
        <v>13</v>
      </c>
      <c r="B18" s="12" t="s">
        <v>25</v>
      </c>
      <c r="C18" s="12" t="s">
        <v>25</v>
      </c>
      <c r="D18" s="7" t="s">
        <v>26</v>
      </c>
      <c r="F18" s="8" t="s">
        <v>27</v>
      </c>
      <c r="G18" s="8"/>
    </row>
    <row r="19" customFormat="false" ht="15" hidden="false" customHeight="true" outlineLevel="0" collapsed="false">
      <c r="A19" s="8" t="s">
        <v>15</v>
      </c>
      <c r="B19" s="13" t="s">
        <v>28</v>
      </c>
      <c r="C19" s="13" t="s">
        <v>28</v>
      </c>
      <c r="D19" s="7" t="s">
        <v>26</v>
      </c>
      <c r="F19" s="8" t="s">
        <v>29</v>
      </c>
      <c r="G19" s="8"/>
    </row>
    <row r="20" customFormat="false" ht="15" hidden="false" customHeight="true" outlineLevel="0" collapsed="false">
      <c r="A20" s="8" t="s">
        <v>16</v>
      </c>
      <c r="B20" s="13" t="s">
        <v>28</v>
      </c>
      <c r="C20" s="13" t="s">
        <v>28</v>
      </c>
      <c r="D20" s="7" t="s">
        <v>26</v>
      </c>
      <c r="F20" s="8" t="s">
        <v>29</v>
      </c>
      <c r="G20" s="8"/>
    </row>
    <row r="21" customFormat="false" ht="15" hidden="false" customHeight="true" outlineLevel="0" collapsed="false">
      <c r="A21" s="8" t="s">
        <v>18</v>
      </c>
      <c r="B21" s="13" t="s">
        <v>28</v>
      </c>
      <c r="C21" s="13" t="s">
        <v>28</v>
      </c>
      <c r="D21" s="7" t="s">
        <v>26</v>
      </c>
      <c r="F21" s="8" t="s">
        <v>29</v>
      </c>
      <c r="G21" s="8"/>
    </row>
    <row r="22" customFormat="false" ht="15" hidden="false" customHeight="true" outlineLevel="0" collapsed="false">
      <c r="A22" s="8" t="s">
        <v>19</v>
      </c>
      <c r="B22" s="13" t="s">
        <v>28</v>
      </c>
      <c r="C22" s="13" t="s">
        <v>28</v>
      </c>
      <c r="D22" s="7" t="s">
        <v>26</v>
      </c>
      <c r="F22" s="8" t="s">
        <v>29</v>
      </c>
      <c r="G22" s="8"/>
    </row>
    <row r="25" customFormat="false" ht="15" hidden="false" customHeight="true" outlineLevel="0" collapsed="false">
      <c r="A25" s="5" t="s">
        <v>30</v>
      </c>
      <c r="B25" s="5"/>
      <c r="C25" s="5"/>
      <c r="D25" s="5"/>
      <c r="E25" s="5"/>
      <c r="F25" s="5"/>
      <c r="G25" s="5"/>
    </row>
    <row r="26" customFormat="false" ht="15" hidden="false" customHeight="true" outlineLevel="0" collapsed="false">
      <c r="A26" s="14" t="s">
        <v>31</v>
      </c>
      <c r="B26" s="14"/>
      <c r="C26" s="14"/>
      <c r="D26" s="14"/>
      <c r="E26" s="14"/>
      <c r="F26" s="15" t="n">
        <f aca="false">'Top-2 Concentration'!D18</f>
        <v>0.445</v>
      </c>
      <c r="G26" s="15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</row>
    <row r="30" customFormat="false" ht="15" hidden="false" customHeight="true" outlineLevel="0" collapsed="false">
      <c r="A30" s="5" t="s">
        <v>32</v>
      </c>
      <c r="B30" s="5"/>
      <c r="C30" s="5"/>
      <c r="D30" s="5"/>
      <c r="E30" s="5"/>
      <c r="F30" s="5"/>
      <c r="G30" s="5"/>
    </row>
    <row r="31" customFormat="false" ht="15" hidden="false" customHeight="true" outlineLevel="0" collapsed="false">
      <c r="A31" s="6" t="s">
        <v>33</v>
      </c>
      <c r="B31" s="6" t="s">
        <v>34</v>
      </c>
      <c r="C31" s="6" t="s">
        <v>35</v>
      </c>
    </row>
    <row r="32" customFormat="false" ht="15" hidden="false" customHeight="true" outlineLevel="0" collapsed="false">
      <c r="A32" s="17" t="s">
        <v>25</v>
      </c>
      <c r="B32" s="8" t="s">
        <v>36</v>
      </c>
      <c r="C32" s="7" t="n">
        <f aca="false">COUNTIF('Tier Classification'!F6:F11,"Premier")</f>
        <v>2</v>
      </c>
    </row>
    <row r="33" customFormat="false" ht="15" hidden="false" customHeight="true" outlineLevel="0" collapsed="false">
      <c r="A33" s="18" t="s">
        <v>37</v>
      </c>
      <c r="B33" s="8" t="s">
        <v>38</v>
      </c>
      <c r="C33" s="7" t="n">
        <f aca="false">COUNTIF('Tier Classification'!F6:F11,"Standard")</f>
        <v>0</v>
      </c>
    </row>
    <row r="34" customFormat="false" ht="15" hidden="false" customHeight="true" outlineLevel="0" collapsed="false">
      <c r="A34" s="19" t="s">
        <v>28</v>
      </c>
      <c r="B34" s="8" t="s">
        <v>39</v>
      </c>
      <c r="C34" s="7" t="n">
        <f aca="false">COUNTIF('Tier Classification'!F6:F11,"Watch")</f>
        <v>4</v>
      </c>
    </row>
  </sheetData>
  <mergeCells count="16">
    <mergeCell ref="A1:G1"/>
    <mergeCell ref="A2:G2"/>
    <mergeCell ref="A3:G3"/>
    <mergeCell ref="A5:G5"/>
    <mergeCell ref="A15:G15"/>
    <mergeCell ref="F16:G16"/>
    <mergeCell ref="F17:G17"/>
    <mergeCell ref="F18:G18"/>
    <mergeCell ref="F19:G19"/>
    <mergeCell ref="F20:G20"/>
    <mergeCell ref="F21:G21"/>
    <mergeCell ref="F22:G22"/>
    <mergeCell ref="A25:G25"/>
    <mergeCell ref="A26:E26"/>
    <mergeCell ref="F26:G26"/>
    <mergeCell ref="A30:G30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2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8.86"/>
    <col collapsed="false" customWidth="true" hidden="false" outlineLevel="0" max="3" min="3" style="1" width="11.43"/>
    <col collapsed="false" customWidth="true" hidden="false" outlineLevel="0" max="4" min="4" style="1" width="16"/>
    <col collapsed="false" customWidth="true" hidden="false" outlineLevel="0" max="5" min="5" style="1" width="11.71"/>
    <col collapsed="false" customWidth="true" hidden="false" outlineLevel="0" max="6" min="6" style="1" width="14.43"/>
    <col collapsed="false" customWidth="true" hidden="false" outlineLevel="0" max="7" min="7" style="1" width="16.71"/>
    <col collapsed="false" customWidth="true" hidden="false" outlineLevel="0" max="8" min="8" style="1" width="17.57"/>
    <col collapsed="false" customWidth="true" hidden="false" outlineLevel="0" max="9" min="9" style="1" width="12.86"/>
  </cols>
  <sheetData>
    <row r="1" customFormat="false" ht="15.75" hidden="false" customHeight="true" outlineLevel="0" collapsed="false">
      <c r="A1" s="20" t="s">
        <v>40</v>
      </c>
      <c r="B1" s="20"/>
      <c r="C1" s="20"/>
      <c r="D1" s="20"/>
      <c r="E1" s="20"/>
      <c r="F1" s="20"/>
      <c r="G1" s="20"/>
      <c r="H1" s="20"/>
      <c r="I1" s="20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  <c r="I2" s="16"/>
    </row>
    <row r="4" customFormat="false" ht="15" hidden="false" customHeight="true" outlineLevel="0" collapsed="false">
      <c r="A4" s="14" t="s">
        <v>41</v>
      </c>
      <c r="B4" s="14"/>
      <c r="C4" s="14"/>
    </row>
    <row r="5" customFormat="false" ht="15" hidden="false" customHeight="true" outlineLevel="0" collapsed="false">
      <c r="A5" s="6" t="s">
        <v>6</v>
      </c>
      <c r="B5" s="6" t="s">
        <v>42</v>
      </c>
      <c r="C5" s="6" t="s">
        <v>43</v>
      </c>
    </row>
    <row r="6" customFormat="false" ht="15" hidden="false" customHeight="true" outlineLevel="0" collapsed="false">
      <c r="A6" s="21" t="s">
        <v>12</v>
      </c>
      <c r="B6" s="22" t="n">
        <v>0.4</v>
      </c>
      <c r="C6" s="23" t="s">
        <v>44</v>
      </c>
    </row>
    <row r="7" customFormat="false" ht="15" hidden="false" customHeight="true" outlineLevel="0" collapsed="false">
      <c r="A7" s="21" t="s">
        <v>14</v>
      </c>
      <c r="B7" s="22" t="n">
        <v>0.35</v>
      </c>
      <c r="C7" s="23" t="s">
        <v>44</v>
      </c>
    </row>
    <row r="8" customFormat="false" ht="15" hidden="false" customHeight="true" outlineLevel="0" collapsed="false">
      <c r="A8" s="21" t="s">
        <v>17</v>
      </c>
      <c r="B8" s="22" t="n">
        <v>0.25</v>
      </c>
      <c r="C8" s="23" t="s">
        <v>44</v>
      </c>
    </row>
    <row r="10" customFormat="false" ht="15" hidden="false" customHeight="true" outlineLevel="0" collapsed="false">
      <c r="A10" s="14" t="s">
        <v>45</v>
      </c>
      <c r="B10" s="14"/>
      <c r="C10" s="14"/>
      <c r="D10" s="14"/>
      <c r="E10" s="14"/>
      <c r="F10" s="14"/>
      <c r="G10" s="14"/>
      <c r="H10" s="14"/>
      <c r="I10" s="14"/>
    </row>
    <row r="11" customFormat="false" ht="15" hidden="false" customHeight="true" outlineLevel="0" collapsed="false">
      <c r="A11" s="6" t="s">
        <v>46</v>
      </c>
      <c r="B11" s="6" t="s">
        <v>5</v>
      </c>
      <c r="C11" s="6" t="s">
        <v>6</v>
      </c>
      <c r="D11" s="6" t="s">
        <v>7</v>
      </c>
      <c r="E11" s="6" t="s">
        <v>8</v>
      </c>
      <c r="F11" s="6" t="s">
        <v>9</v>
      </c>
      <c r="G11" s="6" t="s">
        <v>47</v>
      </c>
      <c r="H11" s="6" t="s">
        <v>48</v>
      </c>
      <c r="I11" s="6" t="s">
        <v>49</v>
      </c>
    </row>
    <row r="12" customFormat="false" ht="15" hidden="false" customHeight="true" outlineLevel="0" collapsed="false">
      <c r="A12" s="7" t="s">
        <v>50</v>
      </c>
      <c r="B12" s="8" t="s">
        <v>11</v>
      </c>
      <c r="C12" s="7" t="s">
        <v>12</v>
      </c>
      <c r="D12" s="9" t="n">
        <v>991200</v>
      </c>
      <c r="E12" s="10" t="n">
        <v>9.1</v>
      </c>
      <c r="F12" s="10" t="n">
        <v>75.4</v>
      </c>
      <c r="G12" s="24" t="n">
        <f aca="false">(D12*VLOOKUP(C12,$A$6:$B$8,2,FALSE())/100000)*7.5</f>
        <v>29.736</v>
      </c>
      <c r="H12" s="25" t="n">
        <f aca="false">E12*2</f>
        <v>18.2</v>
      </c>
      <c r="I12" s="11" t="n">
        <f aca="false">ROUND(G12+H12+F12*0.2,1)</f>
        <v>63</v>
      </c>
    </row>
    <row r="13" customFormat="false" ht="15" hidden="false" customHeight="true" outlineLevel="0" collapsed="false">
      <c r="A13" s="7" t="s">
        <v>51</v>
      </c>
      <c r="B13" s="8" t="s">
        <v>13</v>
      </c>
      <c r="C13" s="7" t="s">
        <v>14</v>
      </c>
      <c r="D13" s="9" t="n">
        <v>891600</v>
      </c>
      <c r="E13" s="10" t="n">
        <v>8.5</v>
      </c>
      <c r="F13" s="10" t="n">
        <v>72.1</v>
      </c>
      <c r="G13" s="24" t="n">
        <f aca="false">(D13*VLOOKUP(C13,$A$6:$B$8,2,FALSE())/100000)*7.5</f>
        <v>23.4045</v>
      </c>
      <c r="H13" s="25" t="n">
        <f aca="false">E13*2</f>
        <v>17</v>
      </c>
      <c r="I13" s="11" t="n">
        <f aca="false">ROUND(G13+H13+F13*0.2,1)</f>
        <v>54.8</v>
      </c>
    </row>
    <row r="14" customFormat="false" ht="15" hidden="false" customHeight="true" outlineLevel="0" collapsed="false">
      <c r="A14" s="7" t="s">
        <v>52</v>
      </c>
      <c r="B14" s="8" t="s">
        <v>15</v>
      </c>
      <c r="C14" s="7" t="s">
        <v>12</v>
      </c>
      <c r="D14" s="9" t="n">
        <v>738500</v>
      </c>
      <c r="E14" s="10" t="n">
        <v>8.2</v>
      </c>
      <c r="F14" s="10" t="n">
        <v>69.4</v>
      </c>
      <c r="G14" s="24" t="n">
        <f aca="false">(D14*VLOOKUP(C14,$A$6:$B$8,2,FALSE())/100000)*7.5</f>
        <v>22.155</v>
      </c>
      <c r="H14" s="25" t="n">
        <f aca="false">E14*2</f>
        <v>16.4</v>
      </c>
      <c r="I14" s="11" t="n">
        <f aca="false">ROUND(G14+H14+F14*0.2,1)</f>
        <v>52.4</v>
      </c>
    </row>
    <row r="15" customFormat="false" ht="15" hidden="false" customHeight="true" outlineLevel="0" collapsed="false">
      <c r="A15" s="7" t="s">
        <v>53</v>
      </c>
      <c r="B15" s="8" t="s">
        <v>16</v>
      </c>
      <c r="C15" s="7" t="s">
        <v>17</v>
      </c>
      <c r="D15" s="9" t="n">
        <v>658400</v>
      </c>
      <c r="E15" s="10" t="n">
        <v>7.4</v>
      </c>
      <c r="F15" s="10" t="n">
        <v>70.2</v>
      </c>
      <c r="G15" s="24" t="n">
        <f aca="false">(D15*VLOOKUP(C15,$A$6:$B$8,2,FALSE())/100000)*7.5</f>
        <v>12.345</v>
      </c>
      <c r="H15" s="25" t="n">
        <f aca="false">E15*2</f>
        <v>14.8</v>
      </c>
      <c r="I15" s="11" t="n">
        <f aca="false">ROUND(G15+H15+F15*0.2,1)</f>
        <v>41.2</v>
      </c>
    </row>
    <row r="16" customFormat="false" ht="15" hidden="false" customHeight="true" outlineLevel="0" collapsed="false">
      <c r="A16" s="7" t="s">
        <v>54</v>
      </c>
      <c r="B16" s="8" t="s">
        <v>18</v>
      </c>
      <c r="C16" s="7" t="s">
        <v>14</v>
      </c>
      <c r="D16" s="9" t="n">
        <v>497300</v>
      </c>
      <c r="E16" s="10" t="n">
        <v>5.9</v>
      </c>
      <c r="F16" s="10" t="n">
        <v>62.8</v>
      </c>
      <c r="G16" s="24" t="n">
        <f aca="false">(D16*VLOOKUP(C16,$A$6:$B$8,2,FALSE())/100000)*7.5</f>
        <v>13.054125</v>
      </c>
      <c r="H16" s="25" t="n">
        <f aca="false">E16*2</f>
        <v>11.8</v>
      </c>
      <c r="I16" s="11" t="n">
        <f aca="false">ROUND(G16+H16+F16*0.2,1)</f>
        <v>37.4</v>
      </c>
    </row>
    <row r="17" customFormat="false" ht="15" hidden="false" customHeight="true" outlineLevel="0" collapsed="false">
      <c r="A17" s="7" t="s">
        <v>55</v>
      </c>
      <c r="B17" s="8" t="s">
        <v>19</v>
      </c>
      <c r="C17" s="7" t="s">
        <v>17</v>
      </c>
      <c r="D17" s="9" t="n">
        <v>456800</v>
      </c>
      <c r="E17" s="10" t="n">
        <v>6.4</v>
      </c>
      <c r="F17" s="10" t="n">
        <v>63.5</v>
      </c>
      <c r="G17" s="24" t="n">
        <f aca="false">(D17*VLOOKUP(C17,$A$6:$B$8,2,FALSE())/100000)*7.5</f>
        <v>8.565</v>
      </c>
      <c r="H17" s="25" t="n">
        <f aca="false">E17*2</f>
        <v>12.8</v>
      </c>
      <c r="I17" s="11" t="n">
        <f aca="false">ROUND(G17+H17+F17*0.2,1)</f>
        <v>34.1</v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</row>
    <row r="22" customFormat="false" ht="15" hidden="false" customHeight="true" outlineLevel="0" collapsed="false">
      <c r="A22" s="14" t="s">
        <v>56</v>
      </c>
      <c r="B22" s="14"/>
      <c r="C22" s="14"/>
      <c r="D22" s="14"/>
      <c r="E22" s="14"/>
      <c r="F22" s="14"/>
      <c r="G22" s="14"/>
      <c r="H22" s="14"/>
      <c r="I22" s="14"/>
    </row>
    <row r="23" customFormat="false" ht="15" hidden="false" customHeight="true" outlineLevel="0" collapsed="false">
      <c r="A23" s="6" t="s">
        <v>46</v>
      </c>
      <c r="B23" s="6" t="s">
        <v>5</v>
      </c>
      <c r="C23" s="6" t="s">
        <v>6</v>
      </c>
      <c r="D23" s="6" t="s">
        <v>7</v>
      </c>
      <c r="E23" s="6" t="s">
        <v>8</v>
      </c>
      <c r="F23" s="6" t="s">
        <v>9</v>
      </c>
      <c r="G23" s="6" t="s">
        <v>47</v>
      </c>
      <c r="H23" s="6" t="s">
        <v>48</v>
      </c>
      <c r="I23" s="6" t="s">
        <v>49</v>
      </c>
    </row>
    <row r="24" customFormat="false" ht="15" hidden="false" customHeight="true" outlineLevel="0" collapsed="false">
      <c r="A24" s="7" t="s">
        <v>57</v>
      </c>
      <c r="B24" s="8" t="s">
        <v>11</v>
      </c>
      <c r="C24" s="7" t="s">
        <v>12</v>
      </c>
      <c r="D24" s="9" t="n">
        <v>967400</v>
      </c>
      <c r="E24" s="10" t="n">
        <v>8.7</v>
      </c>
      <c r="F24" s="10" t="n">
        <v>73.2</v>
      </c>
      <c r="G24" s="24" t="n">
        <f aca="false">(D24*VLOOKUP(C24,$A$6:$B$8,2,FALSE())/100000)*7.5</f>
        <v>29.022</v>
      </c>
      <c r="H24" s="25" t="n">
        <f aca="false">E24*2</f>
        <v>17.4</v>
      </c>
      <c r="I24" s="11" t="n">
        <f aca="false">ROUND(G24+H24+F24*0.2,1)</f>
        <v>61.1</v>
      </c>
    </row>
    <row r="25" customFormat="false" ht="15" hidden="false" customHeight="true" outlineLevel="0" collapsed="false">
      <c r="A25" s="7" t="s">
        <v>58</v>
      </c>
      <c r="B25" s="8" t="s">
        <v>13</v>
      </c>
      <c r="C25" s="7" t="s">
        <v>14</v>
      </c>
      <c r="D25" s="9" t="n">
        <v>854300</v>
      </c>
      <c r="E25" s="10" t="n">
        <v>8.4</v>
      </c>
      <c r="F25" s="10" t="n">
        <v>71.8</v>
      </c>
      <c r="G25" s="24" t="n">
        <f aca="false">(D25*VLOOKUP(C25,$A$6:$B$8,2,FALSE())/100000)*7.5</f>
        <v>22.425375</v>
      </c>
      <c r="H25" s="25" t="n">
        <f aca="false">E25*2</f>
        <v>16.8</v>
      </c>
      <c r="I25" s="11" t="n">
        <f aca="false">ROUND(G25+H25+F25*0.2,1)</f>
        <v>53.6</v>
      </c>
    </row>
    <row r="26" customFormat="false" ht="15" hidden="false" customHeight="true" outlineLevel="0" collapsed="false">
      <c r="A26" s="7" t="s">
        <v>59</v>
      </c>
      <c r="B26" s="8" t="s">
        <v>15</v>
      </c>
      <c r="C26" s="7" t="s">
        <v>12</v>
      </c>
      <c r="D26" s="9" t="n">
        <v>712800</v>
      </c>
      <c r="E26" s="10" t="n">
        <v>7.1</v>
      </c>
      <c r="F26" s="10" t="n">
        <v>68.5</v>
      </c>
      <c r="G26" s="24" t="n">
        <f aca="false">(D26*VLOOKUP(C26,$A$6:$B$8,2,FALSE())/100000)*7.5</f>
        <v>21.384</v>
      </c>
      <c r="H26" s="25" t="n">
        <f aca="false">E26*2</f>
        <v>14.2</v>
      </c>
      <c r="I26" s="11" t="n">
        <f aca="false">ROUND(G26+H26+F26*0.2,1)</f>
        <v>49.3</v>
      </c>
    </row>
    <row r="27" customFormat="false" ht="15" hidden="false" customHeight="true" outlineLevel="0" collapsed="false">
      <c r="A27" s="7" t="s">
        <v>60</v>
      </c>
      <c r="B27" s="8" t="s">
        <v>16</v>
      </c>
      <c r="C27" s="7" t="s">
        <v>17</v>
      </c>
      <c r="D27" s="9" t="n">
        <v>631500</v>
      </c>
      <c r="E27" s="10" t="n">
        <v>7.5</v>
      </c>
      <c r="F27" s="10" t="n">
        <v>69.7</v>
      </c>
      <c r="G27" s="24" t="n">
        <f aca="false">(D27*VLOOKUP(C27,$A$6:$B$8,2,FALSE())/100000)*7.5</f>
        <v>11.840625</v>
      </c>
      <c r="H27" s="25" t="n">
        <f aca="false">E27*2</f>
        <v>15</v>
      </c>
      <c r="I27" s="11" t="n">
        <f aca="false">ROUND(G27+H27+F27*0.2,1)</f>
        <v>40.8</v>
      </c>
    </row>
    <row r="28" customFormat="false" ht="15" hidden="false" customHeight="true" outlineLevel="0" collapsed="false">
      <c r="A28" s="7" t="s">
        <v>61</v>
      </c>
      <c r="B28" s="8" t="s">
        <v>18</v>
      </c>
      <c r="C28" s="7" t="s">
        <v>14</v>
      </c>
      <c r="D28" s="9" t="n">
        <v>528600</v>
      </c>
      <c r="E28" s="10" t="n">
        <v>6.2</v>
      </c>
      <c r="F28" s="10" t="n">
        <v>64.3</v>
      </c>
      <c r="G28" s="24" t="n">
        <f aca="false">(D28*VLOOKUP(C28,$A$6:$B$8,2,FALSE())/100000)*7.5</f>
        <v>13.87575</v>
      </c>
      <c r="H28" s="25" t="n">
        <f aca="false">E28*2</f>
        <v>12.4</v>
      </c>
      <c r="I28" s="11" t="n">
        <f aca="false">ROUND(G28+H28+F28*0.2,1)</f>
        <v>39.1</v>
      </c>
    </row>
    <row r="29" customFormat="false" ht="15" hidden="false" customHeight="true" outlineLevel="0" collapsed="false">
      <c r="A29" s="7" t="s">
        <v>62</v>
      </c>
      <c r="B29" s="8" t="s">
        <v>19</v>
      </c>
      <c r="C29" s="7" t="s">
        <v>17</v>
      </c>
      <c r="D29" s="9" t="n">
        <v>442900</v>
      </c>
      <c r="E29" s="10" t="n">
        <v>6.8</v>
      </c>
      <c r="F29" s="10" t="n">
        <v>62.9</v>
      </c>
      <c r="G29" s="24" t="n">
        <f aca="false">(D29*VLOOKUP(C29,$A$6:$B$8,2,FALSE())/100000)*7.5</f>
        <v>8.304375</v>
      </c>
      <c r="H29" s="25" t="n">
        <f aca="false">E29*2</f>
        <v>13.6</v>
      </c>
      <c r="I29" s="11" t="n">
        <f aca="false">ROUND(G29+H29+F29*0.2,1)</f>
        <v>34.5</v>
      </c>
    </row>
  </sheetData>
  <mergeCells count="4">
    <mergeCell ref="A1:I1"/>
    <mergeCell ref="A4:C4"/>
    <mergeCell ref="A10:I10"/>
    <mergeCell ref="A22:I22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5723"/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86"/>
    <col collapsed="false" customWidth="true" hidden="false" outlineLevel="0" max="2" min="2" style="1" width="11.71"/>
    <col collapsed="false" customWidth="true" hidden="false" outlineLevel="0" max="3" min="3" style="1" width="10.85"/>
    <col collapsed="false" customWidth="true" hidden="false" outlineLevel="0" max="4" min="4" style="1" width="9.71"/>
    <col collapsed="false" customWidth="true" hidden="false" outlineLevel="0" max="5" min="5" style="1" width="10.43"/>
    <col collapsed="false" customWidth="true" hidden="false" outlineLevel="0" max="6" min="6" style="1" width="13.86"/>
    <col collapsed="false" customWidth="true" hidden="false" outlineLevel="0" max="7" min="7" style="1" width="36.43"/>
    <col collapsed="false" customWidth="true" hidden="false" outlineLevel="0" max="8" min="8" style="1" width="13.71"/>
    <col collapsed="false" customWidth="true" hidden="false" outlineLevel="0" max="9" min="9" style="1" width="12.43"/>
  </cols>
  <sheetData>
    <row r="1" customFormat="false" ht="15.75" hidden="false" customHeight="true" outlineLevel="0" collapsed="false">
      <c r="A1" s="20" t="s">
        <v>63</v>
      </c>
      <c r="B1" s="20"/>
      <c r="C1" s="20"/>
      <c r="D1" s="20"/>
      <c r="E1" s="20"/>
      <c r="F1" s="20"/>
      <c r="G1" s="20"/>
      <c r="H1" s="20"/>
      <c r="I1" s="20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  <c r="I2" s="16"/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  <c r="G3" s="16"/>
      <c r="H3" s="16"/>
      <c r="I3" s="16"/>
    </row>
    <row r="4" customFormat="false" ht="15" hidden="false" customHeight="true" outlineLevel="0" collapsed="false">
      <c r="A4" s="14" t="s">
        <v>64</v>
      </c>
      <c r="B4" s="14"/>
      <c r="C4" s="14"/>
      <c r="D4" s="14"/>
      <c r="E4" s="14"/>
      <c r="F4" s="14"/>
      <c r="G4" s="14"/>
      <c r="H4" s="14"/>
      <c r="I4" s="14"/>
    </row>
    <row r="5" customFormat="false" ht="15" hidden="false" customHeight="true" outlineLevel="0" collapsed="false">
      <c r="A5" s="6" t="s">
        <v>5</v>
      </c>
      <c r="B5" s="6" t="s">
        <v>49</v>
      </c>
      <c r="C5" s="6" t="s">
        <v>8</v>
      </c>
      <c r="D5" s="6" t="s">
        <v>65</v>
      </c>
      <c r="E5" s="6" t="s">
        <v>66</v>
      </c>
      <c r="F5" s="6" t="s">
        <v>22</v>
      </c>
      <c r="G5" s="6" t="s">
        <v>67</v>
      </c>
      <c r="H5" s="6" t="s">
        <v>21</v>
      </c>
      <c r="I5" s="6" t="s">
        <v>23</v>
      </c>
    </row>
    <row r="6" customFormat="false" ht="15" hidden="false" customHeight="true" outlineLevel="0" collapsed="false">
      <c r="A6" s="8" t="s">
        <v>11</v>
      </c>
      <c r="B6" s="11" t="n">
        <f aca="false">'Composite Scores'!I12</f>
        <v>63</v>
      </c>
      <c r="C6" s="10" t="n">
        <f aca="false">'Composite Scores'!E12</f>
        <v>9.1</v>
      </c>
      <c r="D6" s="10" t="n">
        <f aca="false">'Composite Scores'!F12</f>
        <v>75.4</v>
      </c>
      <c r="E6" s="26" t="n">
        <v>5.5</v>
      </c>
      <c r="F6" s="27" t="str">
        <f aca="false">IF(AND(B6&gt;=50,C6&gt;=8,D6&gt;=70),"Premier",IF(OR(C6&lt;6.5,E6&lt;5),"Watch",IF(AND(B6&gt;=38,C6&gt;=6.5),"Standard","Watch")))</f>
        <v>Premier</v>
      </c>
      <c r="G6" s="8" t="s">
        <v>68</v>
      </c>
      <c r="H6" s="7" t="s">
        <v>25</v>
      </c>
      <c r="I6" s="7" t="str">
        <f aca="false">IF(F6=H6,"None",IF(F6="Premier","Up",IF(F6="Watch","Down",IF(H6="Premier","Down","Up"))))</f>
        <v>None</v>
      </c>
    </row>
    <row r="7" customFormat="false" ht="15" hidden="false" customHeight="true" outlineLevel="0" collapsed="false">
      <c r="A7" s="8" t="s">
        <v>13</v>
      </c>
      <c r="B7" s="11" t="n">
        <f aca="false">'Composite Scores'!I13</f>
        <v>54.8</v>
      </c>
      <c r="C7" s="10" t="n">
        <f aca="false">'Composite Scores'!E13</f>
        <v>8.5</v>
      </c>
      <c r="D7" s="10" t="n">
        <f aca="false">'Composite Scores'!F13</f>
        <v>72.1</v>
      </c>
      <c r="E7" s="26" t="n">
        <v>5.4</v>
      </c>
      <c r="F7" s="27" t="str">
        <f aca="false">IF(AND(B7&gt;=50,C7&gt;=8,D7&gt;=70),"Premier",IF(OR(C7&lt;6.5,E7&lt;5),"Watch",IF(AND(B7&gt;=38,C7&gt;=6.5),"Standard","Watch")))</f>
        <v>Premier</v>
      </c>
      <c r="G7" s="8" t="s">
        <v>26</v>
      </c>
      <c r="H7" s="7" t="s">
        <v>25</v>
      </c>
      <c r="I7" s="7" t="str">
        <f aca="false">IF(F7=H7,"None",IF(F7="Premier","Up",IF(F7="Watch","Down",IF(H7="Premier","Down","Up"))))</f>
        <v>None</v>
      </c>
    </row>
    <row r="8" customFormat="false" ht="15" hidden="false" customHeight="true" outlineLevel="0" collapsed="false">
      <c r="A8" s="8" t="s">
        <v>15</v>
      </c>
      <c r="B8" s="11" t="n">
        <f aca="false">'Composite Scores'!I14</f>
        <v>52.4</v>
      </c>
      <c r="C8" s="10" t="n">
        <f aca="false">'Composite Scores'!E14</f>
        <v>8.2</v>
      </c>
      <c r="D8" s="10" t="n">
        <f aca="false">'Composite Scores'!F14</f>
        <v>69.4</v>
      </c>
      <c r="E8" s="26" t="n">
        <v>4.8</v>
      </c>
      <c r="F8" s="27" t="str">
        <f aca="false">IF(AND(B8&gt;=50,C8&gt;=8,D8&gt;=70),"Premier",IF(OR(C8&lt;6.5,E8&lt;5),"Watch",IF(AND(B8&gt;=38,C8&gt;=6.5),"Standard","Watch")))</f>
        <v>Watch</v>
      </c>
      <c r="G8" s="8" t="s">
        <v>69</v>
      </c>
      <c r="H8" s="7" t="s">
        <v>28</v>
      </c>
      <c r="I8" s="7" t="str">
        <f aca="false">IF(F8=H8,"None",IF(F8="Premier","Up",IF(F8="Watch","Down",IF(H8="Premier","Down","Up"))))</f>
        <v>None</v>
      </c>
    </row>
    <row r="9" customFormat="false" ht="15" hidden="false" customHeight="true" outlineLevel="0" collapsed="false">
      <c r="A9" s="8" t="s">
        <v>16</v>
      </c>
      <c r="B9" s="11" t="n">
        <f aca="false">'Composite Scores'!I15</f>
        <v>41.2</v>
      </c>
      <c r="C9" s="10" t="n">
        <f aca="false">'Composite Scores'!E15</f>
        <v>7.4</v>
      </c>
      <c r="D9" s="10" t="n">
        <f aca="false">'Composite Scores'!F15</f>
        <v>70.2</v>
      </c>
      <c r="E9" s="26" t="n">
        <v>4.7</v>
      </c>
      <c r="F9" s="27" t="str">
        <f aca="false">IF(AND(B9&gt;=50,C9&gt;=8,D9&gt;=70),"Premier",IF(OR(C9&lt;6.5,E9&lt;5),"Watch",IF(AND(B9&gt;=38,C9&gt;=6.5),"Standard","Watch")))</f>
        <v>Watch</v>
      </c>
      <c r="G9" s="8" t="s">
        <v>70</v>
      </c>
      <c r="H9" s="7" t="s">
        <v>28</v>
      </c>
      <c r="I9" s="7" t="str">
        <f aca="false">IF(F9=H9,"None",IF(F9="Premier","Up",IF(F9="Watch","Down",IF(H9="Premier","Down","Up"))))</f>
        <v>None</v>
      </c>
    </row>
    <row r="10" customFormat="false" ht="15" hidden="false" customHeight="true" outlineLevel="0" collapsed="false">
      <c r="A10" s="8" t="s">
        <v>18</v>
      </c>
      <c r="B10" s="11" t="n">
        <f aca="false">'Composite Scores'!I16</f>
        <v>37.4</v>
      </c>
      <c r="C10" s="10" t="n">
        <f aca="false">'Composite Scores'!E16</f>
        <v>5.9</v>
      </c>
      <c r="D10" s="10" t="n">
        <f aca="false">'Composite Scores'!F16</f>
        <v>62.8</v>
      </c>
      <c r="E10" s="26" t="n">
        <v>3.9</v>
      </c>
      <c r="F10" s="27" t="str">
        <f aca="false">IF(AND(B10&gt;=50,C10&gt;=8,D10&gt;=70),"Premier",IF(OR(C10&lt;6.5,E10&lt;5),"Watch",IF(AND(B10&gt;=38,C10&gt;=6.5),"Standard","Watch")))</f>
        <v>Watch</v>
      </c>
      <c r="G10" s="8" t="s">
        <v>71</v>
      </c>
      <c r="H10" s="7" t="s">
        <v>28</v>
      </c>
      <c r="I10" s="7" t="str">
        <f aca="false">IF(F10=H10,"None",IF(F10="Premier","Up",IF(F10="Watch","Down",IF(H10="Premier","Down","Up"))))</f>
        <v>None</v>
      </c>
    </row>
    <row r="11" customFormat="false" ht="15" hidden="false" customHeight="true" outlineLevel="0" collapsed="false">
      <c r="A11" s="8" t="s">
        <v>19</v>
      </c>
      <c r="B11" s="11" t="n">
        <f aca="false">'Composite Scores'!I17</f>
        <v>34.1</v>
      </c>
      <c r="C11" s="10" t="n">
        <f aca="false">'Composite Scores'!E17</f>
        <v>6.4</v>
      </c>
      <c r="D11" s="10" t="n">
        <f aca="false">'Composite Scores'!F17</f>
        <v>63.5</v>
      </c>
      <c r="E11" s="26" t="n">
        <v>4.1</v>
      </c>
      <c r="F11" s="27" t="str">
        <f aca="false">IF(AND(B11&gt;=50,C11&gt;=8,D11&gt;=70),"Premier",IF(OR(C11&lt;6.5,E11&lt;5),"Watch",IF(AND(B11&gt;=38,C11&gt;=6.5),"Standard","Watch")))</f>
        <v>Watch</v>
      </c>
      <c r="G11" s="8" t="s">
        <v>72</v>
      </c>
      <c r="H11" s="7" t="s">
        <v>28</v>
      </c>
      <c r="I11" s="7" t="str">
        <f aca="false">IF(F11=H11,"None",IF(F11="Premier","Up",IF(F11="Watch","Down",IF(H11="Premier","Down","Up"))))</f>
        <v>None</v>
      </c>
    </row>
    <row r="14" customFormat="false" ht="15" hidden="false" customHeight="true" outlineLevel="0" collapsed="false">
      <c r="A14" s="14" t="s">
        <v>73</v>
      </c>
      <c r="B14" s="14"/>
      <c r="C14" s="14"/>
      <c r="D14" s="14"/>
      <c r="E14" s="14"/>
      <c r="F14" s="14"/>
      <c r="G14" s="14"/>
      <c r="H14" s="14"/>
      <c r="I14" s="14"/>
    </row>
    <row r="15" customFormat="false" ht="15" hidden="false" customHeight="true" outlineLevel="0" collapsed="false">
      <c r="A15" s="6" t="s">
        <v>5</v>
      </c>
      <c r="B15" s="6" t="s">
        <v>49</v>
      </c>
      <c r="C15" s="6" t="s">
        <v>8</v>
      </c>
      <c r="D15" s="6" t="s">
        <v>65</v>
      </c>
      <c r="E15" s="6" t="s">
        <v>66</v>
      </c>
      <c r="F15" s="6" t="s">
        <v>21</v>
      </c>
      <c r="G15" s="6" t="s">
        <v>67</v>
      </c>
    </row>
    <row r="16" customFormat="false" ht="15" hidden="false" customHeight="true" outlineLevel="0" collapsed="false">
      <c r="A16" s="8" t="s">
        <v>11</v>
      </c>
      <c r="B16" s="11" t="n">
        <f aca="false">'Composite Scores'!I24</f>
        <v>61.1</v>
      </c>
      <c r="C16" s="26" t="n">
        <v>8.7</v>
      </c>
      <c r="D16" s="26" t="n">
        <v>73.2</v>
      </c>
      <c r="E16" s="26" t="n">
        <v>5.3</v>
      </c>
      <c r="F16" s="27" t="s">
        <v>25</v>
      </c>
      <c r="G16" s="8" t="s">
        <v>26</v>
      </c>
    </row>
    <row r="17" customFormat="false" ht="15" hidden="false" customHeight="true" outlineLevel="0" collapsed="false">
      <c r="A17" s="8" t="s">
        <v>13</v>
      </c>
      <c r="B17" s="11" t="n">
        <f aca="false">'Composite Scores'!I25</f>
        <v>53.6</v>
      </c>
      <c r="C17" s="26" t="n">
        <v>8.4</v>
      </c>
      <c r="D17" s="26" t="n">
        <v>71.8</v>
      </c>
      <c r="E17" s="26" t="n">
        <v>5</v>
      </c>
      <c r="F17" s="27" t="s">
        <v>25</v>
      </c>
      <c r="G17" s="8" t="s">
        <v>74</v>
      </c>
    </row>
    <row r="18" customFormat="false" ht="15" hidden="false" customHeight="true" outlineLevel="0" collapsed="false">
      <c r="A18" s="8" t="s">
        <v>15</v>
      </c>
      <c r="B18" s="11" t="n">
        <f aca="false">'Composite Scores'!I26</f>
        <v>49.3</v>
      </c>
      <c r="C18" s="26" t="n">
        <v>7.1</v>
      </c>
      <c r="D18" s="26" t="n">
        <v>68.5</v>
      </c>
      <c r="E18" s="26" t="n">
        <v>4.6</v>
      </c>
      <c r="F18" s="27" t="s">
        <v>28</v>
      </c>
      <c r="G18" s="8" t="s">
        <v>75</v>
      </c>
    </row>
    <row r="19" customFormat="false" ht="15" hidden="false" customHeight="true" outlineLevel="0" collapsed="false">
      <c r="A19" s="8" t="s">
        <v>16</v>
      </c>
      <c r="B19" s="11" t="n">
        <f aca="false">'Composite Scores'!I27</f>
        <v>40.8</v>
      </c>
      <c r="C19" s="26" t="n">
        <v>7.5</v>
      </c>
      <c r="D19" s="26" t="n">
        <v>69.7</v>
      </c>
      <c r="E19" s="26" t="n">
        <v>4.6</v>
      </c>
      <c r="F19" s="27" t="s">
        <v>28</v>
      </c>
      <c r="G19" s="8" t="s">
        <v>75</v>
      </c>
    </row>
    <row r="20" customFormat="false" ht="15" hidden="false" customHeight="true" outlineLevel="0" collapsed="false">
      <c r="A20" s="8" t="s">
        <v>18</v>
      </c>
      <c r="B20" s="11" t="n">
        <f aca="false">'Composite Scores'!I28</f>
        <v>39.1</v>
      </c>
      <c r="C20" s="26" t="n">
        <v>6.2</v>
      </c>
      <c r="D20" s="26" t="n">
        <v>64.3</v>
      </c>
      <c r="E20" s="26" t="n">
        <v>4</v>
      </c>
      <c r="F20" s="27" t="s">
        <v>28</v>
      </c>
      <c r="G20" s="8" t="s">
        <v>76</v>
      </c>
    </row>
    <row r="21" customFormat="false" ht="15" hidden="false" customHeight="true" outlineLevel="0" collapsed="false">
      <c r="A21" s="8" t="s">
        <v>19</v>
      </c>
      <c r="B21" s="11" t="n">
        <f aca="false">'Composite Scores'!I29</f>
        <v>34.5</v>
      </c>
      <c r="C21" s="26" t="n">
        <v>6.8</v>
      </c>
      <c r="D21" s="26" t="n">
        <v>62.9</v>
      </c>
      <c r="E21" s="26" t="n">
        <v>4.2</v>
      </c>
      <c r="F21" s="27" t="s">
        <v>28</v>
      </c>
      <c r="G21" s="8" t="s">
        <v>77</v>
      </c>
    </row>
  </sheetData>
  <mergeCells count="3">
    <mergeCell ref="A1:I1"/>
    <mergeCell ref="A4:I4"/>
    <mergeCell ref="A14:I14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.43"/>
    <col collapsed="false" customWidth="true" hidden="false" outlineLevel="0" max="2" min="2" style="1" width="17.71"/>
    <col collapsed="false" customWidth="true" hidden="false" outlineLevel="0" max="3" min="3" style="1" width="17.43"/>
    <col collapsed="false" customWidth="true" hidden="false" outlineLevel="0" max="4" min="4" style="1" width="18.86"/>
  </cols>
  <sheetData>
    <row r="1" customFormat="false" ht="15.75" hidden="false" customHeight="true" outlineLevel="0" collapsed="false">
      <c r="A1" s="20" t="s">
        <v>78</v>
      </c>
      <c r="B1" s="20"/>
      <c r="C1" s="20"/>
      <c r="D1" s="20"/>
    </row>
    <row r="2" customFormat="false" ht="15" hidden="false" customHeight="false" outlineLevel="0" collapsed="false">
      <c r="A2" s="16"/>
      <c r="B2" s="16"/>
      <c r="C2" s="16"/>
      <c r="D2" s="16"/>
    </row>
    <row r="3" customFormat="false" ht="15" hidden="false" customHeight="false" outlineLevel="0" collapsed="false">
      <c r="A3" s="16"/>
      <c r="B3" s="16"/>
      <c r="C3" s="16"/>
      <c r="D3" s="16"/>
    </row>
    <row r="4" customFormat="false" ht="15" hidden="false" customHeight="true" outlineLevel="0" collapsed="false">
      <c r="A4" s="6" t="s">
        <v>5</v>
      </c>
      <c r="B4" s="6" t="s">
        <v>79</v>
      </c>
      <c r="C4" s="6" t="s">
        <v>80</v>
      </c>
      <c r="D4" s="6" t="s">
        <v>7</v>
      </c>
    </row>
    <row r="5" customFormat="false" ht="15" hidden="false" customHeight="true" outlineLevel="0" collapsed="false">
      <c r="A5" s="8" t="s">
        <v>11</v>
      </c>
      <c r="B5" s="9" t="n">
        <v>1041200</v>
      </c>
      <c r="C5" s="9" t="n">
        <v>50000</v>
      </c>
      <c r="D5" s="28" t="n">
        <f aca="false">B5-C5</f>
        <v>991200</v>
      </c>
    </row>
    <row r="6" customFormat="false" ht="15" hidden="false" customHeight="true" outlineLevel="0" collapsed="false">
      <c r="A6" s="8" t="s">
        <v>13</v>
      </c>
      <c r="B6" s="9" t="n">
        <v>891600</v>
      </c>
      <c r="C6" s="9" t="n">
        <v>0</v>
      </c>
      <c r="D6" s="28" t="n">
        <f aca="false">B6-C6</f>
        <v>891600</v>
      </c>
    </row>
    <row r="7" customFormat="false" ht="15" hidden="false" customHeight="true" outlineLevel="0" collapsed="false">
      <c r="A7" s="8" t="s">
        <v>15</v>
      </c>
      <c r="B7" s="9" t="n">
        <v>738500</v>
      </c>
      <c r="C7" s="9" t="n">
        <v>0</v>
      </c>
      <c r="D7" s="28" t="n">
        <f aca="false">B7-C7</f>
        <v>738500</v>
      </c>
    </row>
    <row r="8" customFormat="false" ht="15" hidden="false" customHeight="true" outlineLevel="0" collapsed="false">
      <c r="A8" s="8" t="s">
        <v>16</v>
      </c>
      <c r="B8" s="9" t="n">
        <v>658400</v>
      </c>
      <c r="C8" s="9" t="n">
        <v>0</v>
      </c>
      <c r="D8" s="28" t="n">
        <f aca="false">B8-C8</f>
        <v>658400</v>
      </c>
    </row>
    <row r="9" customFormat="false" ht="15" hidden="false" customHeight="true" outlineLevel="0" collapsed="false">
      <c r="A9" s="8" t="s">
        <v>18</v>
      </c>
      <c r="B9" s="9" t="n">
        <v>497300</v>
      </c>
      <c r="C9" s="9" t="n">
        <v>0</v>
      </c>
      <c r="D9" s="28" t="n">
        <f aca="false">B9-C9</f>
        <v>497300</v>
      </c>
    </row>
    <row r="10" customFormat="false" ht="15" hidden="false" customHeight="true" outlineLevel="0" collapsed="false">
      <c r="A10" s="8" t="s">
        <v>19</v>
      </c>
      <c r="B10" s="9" t="n">
        <v>456800</v>
      </c>
      <c r="C10" s="9" t="n">
        <v>0</v>
      </c>
      <c r="D10" s="28" t="n">
        <f aca="false">B10-C10</f>
        <v>456800</v>
      </c>
    </row>
    <row r="11" customFormat="false" ht="15" hidden="false" customHeight="true" outlineLevel="0" collapsed="false">
      <c r="A11" s="29" t="s">
        <v>81</v>
      </c>
      <c r="B11" s="30" t="n">
        <f aca="false">SUM(B5:B10)</f>
        <v>4283800</v>
      </c>
      <c r="C11" s="30" t="n">
        <f aca="false">SUM(C5:C10)</f>
        <v>50000</v>
      </c>
      <c r="D11" s="30" t="n">
        <f aca="false">SUM(D5:D10)</f>
        <v>4233800</v>
      </c>
    </row>
    <row r="13" customFormat="false" ht="15" hidden="false" customHeight="true" outlineLevel="0" collapsed="false">
      <c r="A13" s="14" t="s">
        <v>82</v>
      </c>
      <c r="B13" s="14"/>
      <c r="C13" s="14"/>
      <c r="D13" s="14"/>
    </row>
    <row r="14" customFormat="false" ht="15" hidden="false" customHeight="true" outlineLevel="0" collapsed="false">
      <c r="A14" s="8" t="s">
        <v>83</v>
      </c>
      <c r="D14" s="9" t="n">
        <f aca="false">LARGE(D5:D10,1)</f>
        <v>991200</v>
      </c>
    </row>
    <row r="15" customFormat="false" ht="15" hidden="false" customHeight="true" outlineLevel="0" collapsed="false">
      <c r="A15" s="8" t="s">
        <v>84</v>
      </c>
      <c r="D15" s="9" t="n">
        <f aca="false">LARGE(D5:D10,2)</f>
        <v>891600</v>
      </c>
    </row>
    <row r="16" customFormat="false" ht="15" hidden="false" customHeight="true" outlineLevel="0" collapsed="false">
      <c r="A16" s="31" t="s">
        <v>85</v>
      </c>
      <c r="D16" s="28" t="n">
        <f aca="false">D14+D15</f>
        <v>1882800</v>
      </c>
    </row>
    <row r="17" customFormat="false" ht="15" hidden="false" customHeight="true" outlineLevel="0" collapsed="false">
      <c r="A17" s="8" t="s">
        <v>86</v>
      </c>
      <c r="D17" s="9" t="n">
        <f aca="false">D11</f>
        <v>4233800</v>
      </c>
    </row>
    <row r="18" customFormat="false" ht="15" hidden="false" customHeight="true" outlineLevel="0" collapsed="false">
      <c r="A18" s="29" t="s">
        <v>31</v>
      </c>
      <c r="D18" s="32" t="n">
        <f aca="false">ROUND(D16/D17,3)</f>
        <v>0.445</v>
      </c>
    </row>
    <row r="20" customFormat="false" ht="15" hidden="false" customHeight="false" outlineLevel="0" collapsed="false">
      <c r="A20" s="16"/>
      <c r="B20" s="16"/>
      <c r="C20" s="16"/>
      <c r="D20" s="16"/>
    </row>
    <row r="21" customFormat="false" ht="15" hidden="false" customHeight="false" outlineLevel="0" collapsed="false">
      <c r="A21" s="16"/>
      <c r="B21" s="16"/>
      <c r="C21" s="16"/>
      <c r="D21" s="16"/>
    </row>
  </sheetData>
  <mergeCells count="2">
    <mergeCell ref="A1:D1"/>
    <mergeCell ref="A13:D13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86"/>
    <col collapsed="false" customWidth="true" hidden="false" outlineLevel="0" max="2" min="2" style="1" width="11.43"/>
    <col collapsed="false" customWidth="true" hidden="false" outlineLevel="0" max="3" min="3" style="1" width="17.71"/>
    <col collapsed="false" customWidth="true" hidden="false" outlineLevel="0" max="4" min="4" style="1" width="88"/>
    <col collapsed="false" customWidth="true" hidden="false" outlineLevel="0" max="5" min="5" style="1" width="2"/>
  </cols>
  <sheetData>
    <row r="1" customFormat="false" ht="15.75" hidden="false" customHeight="true" outlineLevel="0" collapsed="false">
      <c r="A1" s="33" t="s">
        <v>87</v>
      </c>
      <c r="E1" s="16"/>
    </row>
    <row r="2" customFormat="false" ht="15" hidden="false" customHeight="false" outlineLevel="0" collapsed="false">
      <c r="A2" s="16"/>
      <c r="B2" s="16"/>
      <c r="C2" s="16"/>
      <c r="D2" s="16"/>
      <c r="E2" s="16"/>
    </row>
    <row r="3" customFormat="false" ht="15" hidden="false" customHeight="false" outlineLevel="0" collapsed="false">
      <c r="A3" s="16"/>
      <c r="B3" s="16"/>
      <c r="C3" s="16"/>
      <c r="D3" s="16"/>
      <c r="E3" s="16"/>
    </row>
    <row r="4" customFormat="false" ht="15" hidden="false" customHeight="false" outlineLevel="0" collapsed="false">
      <c r="A4" s="16"/>
      <c r="B4" s="16"/>
      <c r="C4" s="16"/>
      <c r="D4" s="16"/>
      <c r="E4" s="16"/>
    </row>
    <row r="5" customFormat="false" ht="15" hidden="false" customHeight="true" outlineLevel="0" collapsed="false">
      <c r="A5" s="6" t="s">
        <v>5</v>
      </c>
      <c r="B5" s="6" t="s">
        <v>33</v>
      </c>
      <c r="C5" s="6" t="s">
        <v>88</v>
      </c>
      <c r="D5" s="6" t="s">
        <v>89</v>
      </c>
      <c r="E5" s="16"/>
    </row>
    <row r="6" customFormat="false" ht="78" hidden="false" customHeight="true" outlineLevel="0" collapsed="false">
      <c r="A6" s="31" t="s">
        <v>11</v>
      </c>
      <c r="B6" s="27" t="str">
        <f aca="false">'Tier Classification'!F6</f>
        <v>Premier</v>
      </c>
      <c r="C6" s="27" t="str">
        <f aca="false">IF(B6="Premier","Volume expansion",IF(B6="Standard","Retention focus","Remediation"))</f>
        <v>Volume expansion</v>
      </c>
      <c r="D6" s="34" t="s">
        <v>90</v>
      </c>
      <c r="E6" s="16"/>
    </row>
    <row r="7" customFormat="false" ht="78" hidden="false" customHeight="true" outlineLevel="0" collapsed="false">
      <c r="A7" s="31" t="s">
        <v>13</v>
      </c>
      <c r="B7" s="27" t="str">
        <f aca="false">'Tier Classification'!F7</f>
        <v>Premier</v>
      </c>
      <c r="C7" s="27" t="str">
        <f aca="false">IF(B7="Premier","Volume expansion",IF(B7="Standard","Retention focus","Remediation"))</f>
        <v>Volume expansion</v>
      </c>
      <c r="D7" s="34" t="s">
        <v>91</v>
      </c>
      <c r="E7" s="16"/>
    </row>
    <row r="8" customFormat="false" ht="78" hidden="false" customHeight="true" outlineLevel="0" collapsed="false">
      <c r="A8" s="31" t="s">
        <v>15</v>
      </c>
      <c r="B8" s="27" t="str">
        <f aca="false">'Tier Classification'!F8</f>
        <v>Watch</v>
      </c>
      <c r="C8" s="27" t="str">
        <f aca="false">IF(B8="Premier","Volume expansion",IF(B8="Standard","Retention focus","Remediation"))</f>
        <v>Remediation</v>
      </c>
      <c r="D8" s="34" t="s">
        <v>92</v>
      </c>
      <c r="E8" s="16"/>
    </row>
    <row r="9" customFormat="false" ht="78" hidden="false" customHeight="true" outlineLevel="0" collapsed="false">
      <c r="A9" s="31" t="s">
        <v>16</v>
      </c>
      <c r="B9" s="27" t="str">
        <f aca="false">'Tier Classification'!F9</f>
        <v>Watch</v>
      </c>
      <c r="C9" s="27" t="str">
        <f aca="false">IF(B9="Premier","Volume expansion",IF(B9="Standard","Retention focus","Remediation"))</f>
        <v>Remediation</v>
      </c>
      <c r="D9" s="34" t="s">
        <v>93</v>
      </c>
      <c r="E9" s="16"/>
    </row>
    <row r="10" customFormat="false" ht="78" hidden="false" customHeight="true" outlineLevel="0" collapsed="false">
      <c r="A10" s="31" t="s">
        <v>18</v>
      </c>
      <c r="B10" s="27" t="str">
        <f aca="false">'Tier Classification'!F10</f>
        <v>Watch</v>
      </c>
      <c r="C10" s="27" t="str">
        <f aca="false">IF(B10="Premier","Volume expansion",IF(B10="Standard","Retention focus","Remediation"))</f>
        <v>Remediation</v>
      </c>
      <c r="D10" s="34" t="s">
        <v>94</v>
      </c>
      <c r="E10" s="16"/>
    </row>
    <row r="11" customFormat="false" ht="78" hidden="false" customHeight="true" outlineLevel="0" collapsed="false">
      <c r="A11" s="31" t="s">
        <v>19</v>
      </c>
      <c r="B11" s="27" t="str">
        <f aca="false">'Tier Classification'!F11</f>
        <v>Watch</v>
      </c>
      <c r="C11" s="27" t="str">
        <f aca="false">IF(B11="Premier","Volume expansion",IF(B11="Standard","Retention focus","Remediation"))</f>
        <v>Remediation</v>
      </c>
      <c r="D11" s="34" t="s">
        <v>95</v>
      </c>
      <c r="E11" s="16"/>
    </row>
    <row r="12" customFormat="false" ht="15" hidden="false" customHeight="false" outlineLevel="0" collapsed="false">
      <c r="E12" s="16"/>
    </row>
    <row r="13" customFormat="false" ht="15" hidden="false" customHeight="false" outlineLevel="0" collapsed="false">
      <c r="E13" s="16"/>
    </row>
    <row r="14" customFormat="false" ht="15" hidden="false" customHeight="false" outlineLevel="0" collapsed="false">
      <c r="E14" s="16"/>
    </row>
    <row r="15" customFormat="false" ht="15" hidden="false" customHeight="false" outlineLevel="0" collapsed="false">
      <c r="E15" s="16"/>
    </row>
    <row r="16" customFormat="false" ht="15" hidden="false" customHeight="false" outlineLevel="0" collapsed="false">
      <c r="E16" s="16"/>
    </row>
    <row r="17" customFormat="false" ht="15" hidden="false" customHeight="false" outlineLevel="0" collapsed="false">
      <c r="E17" s="16"/>
    </row>
    <row r="18" customFormat="false" ht="15" hidden="false" customHeight="false" outlineLevel="0" collapsed="false">
      <c r="E18" s="16"/>
    </row>
    <row r="19" customFormat="false" ht="15" hidden="false" customHeight="false" outlineLevel="0" collapsed="false">
      <c r="E19" s="16"/>
    </row>
  </sheetData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4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43"/>
    <col collapsed="false" customWidth="true" hidden="false" outlineLevel="0" max="14" min="2" style="1" width="10.71"/>
    <col collapsed="false" customWidth="true" hidden="false" outlineLevel="0" max="15" min="15" style="1" width="12.86"/>
    <col collapsed="false" customWidth="true" hidden="false" outlineLevel="0" max="16" min="16" style="1" width="12.71"/>
    <col collapsed="false" customWidth="true" hidden="false" outlineLevel="0" max="17" min="17" style="1" width="13"/>
  </cols>
  <sheetData>
    <row r="1" customFormat="false" ht="15.75" hidden="false" customHeight="true" outlineLevel="0" collapsed="false">
      <c r="A1" s="20" t="s">
        <v>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4" customFormat="false" ht="15" hidden="false" customHeight="true" outlineLevel="0" collapsed="false">
      <c r="A4" s="6" t="s">
        <v>5</v>
      </c>
      <c r="B4" s="6" t="s">
        <v>97</v>
      </c>
      <c r="C4" s="6" t="s">
        <v>98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  <c r="I4" s="6" t="s">
        <v>104</v>
      </c>
      <c r="J4" s="6" t="s">
        <v>105</v>
      </c>
      <c r="K4" s="6" t="s">
        <v>106</v>
      </c>
      <c r="L4" s="6" t="s">
        <v>107</v>
      </c>
      <c r="M4" s="6" t="s">
        <v>108</v>
      </c>
      <c r="N4" s="6" t="s">
        <v>109</v>
      </c>
      <c r="O4" s="6" t="s">
        <v>110</v>
      </c>
      <c r="P4" s="6" t="s">
        <v>111</v>
      </c>
      <c r="Q4" s="6" t="s">
        <v>112</v>
      </c>
    </row>
    <row r="5" customFormat="false" ht="15" hidden="false" customHeight="true" outlineLevel="0" collapsed="false">
      <c r="A5" s="31" t="s">
        <v>11</v>
      </c>
      <c r="B5" s="35" t="n">
        <v>70500</v>
      </c>
      <c r="C5" s="35" t="n">
        <v>73700</v>
      </c>
      <c r="D5" s="35" t="n">
        <v>76100</v>
      </c>
      <c r="E5" s="35" t="n">
        <v>78500</v>
      </c>
      <c r="F5" s="35" t="n">
        <v>80900</v>
      </c>
      <c r="G5" s="35" t="n">
        <v>80100</v>
      </c>
      <c r="H5" s="35" t="n">
        <v>82500</v>
      </c>
      <c r="I5" s="35" t="n">
        <v>83300</v>
      </c>
      <c r="J5" s="35" t="n">
        <v>81700</v>
      </c>
      <c r="K5" s="35" t="n">
        <v>84100</v>
      </c>
      <c r="L5" s="35" t="n">
        <v>85700</v>
      </c>
      <c r="M5" s="35" t="n">
        <v>86500</v>
      </c>
      <c r="N5" s="35" t="n">
        <v>77600</v>
      </c>
      <c r="O5" s="36" t="n">
        <f aca="false">SUM(B5:N5)</f>
        <v>1041200</v>
      </c>
      <c r="P5" s="37" t="n">
        <f aca="false">AVERAGE(B5:N5)</f>
        <v>80092.3076923077</v>
      </c>
      <c r="Q5" s="38" t="n">
        <f aca="false">N5-B5</f>
        <v>7100</v>
      </c>
    </row>
    <row r="6" customFormat="false" ht="15" hidden="false" customHeight="true" outlineLevel="0" collapsed="false">
      <c r="A6" s="31" t="s">
        <v>13</v>
      </c>
      <c r="B6" s="35" t="n">
        <v>53500</v>
      </c>
      <c r="C6" s="35" t="n">
        <v>58300</v>
      </c>
      <c r="D6" s="35" t="n">
        <v>63100</v>
      </c>
      <c r="E6" s="35" t="n">
        <v>67200</v>
      </c>
      <c r="F6" s="35" t="n">
        <v>71300</v>
      </c>
      <c r="G6" s="35" t="n">
        <v>73400</v>
      </c>
      <c r="H6" s="35" t="n">
        <v>74100</v>
      </c>
      <c r="I6" s="35" t="n">
        <v>72700</v>
      </c>
      <c r="J6" s="35" t="n">
        <v>71300</v>
      </c>
      <c r="K6" s="35" t="n">
        <v>72700</v>
      </c>
      <c r="L6" s="35" t="n">
        <v>75400</v>
      </c>
      <c r="M6" s="35" t="n">
        <v>76800</v>
      </c>
      <c r="N6" s="35" t="n">
        <v>61800</v>
      </c>
      <c r="O6" s="36" t="n">
        <f aca="false">SUM(B6:N6)</f>
        <v>891600</v>
      </c>
      <c r="P6" s="37" t="n">
        <f aca="false">AVERAGE(B6:N6)</f>
        <v>68584.6153846154</v>
      </c>
      <c r="Q6" s="38" t="n">
        <f aca="false">N6-B6</f>
        <v>8300</v>
      </c>
    </row>
    <row r="7" customFormat="false" ht="15" hidden="false" customHeight="true" outlineLevel="0" collapsed="false">
      <c r="A7" s="31" t="s">
        <v>15</v>
      </c>
      <c r="B7" s="35" t="n">
        <v>54000</v>
      </c>
      <c r="C7" s="35" t="n">
        <v>57900</v>
      </c>
      <c r="D7" s="35" t="n">
        <v>59600</v>
      </c>
      <c r="E7" s="35" t="n">
        <v>61400</v>
      </c>
      <c r="F7" s="35" t="n">
        <v>62500</v>
      </c>
      <c r="G7" s="35" t="n">
        <v>60800</v>
      </c>
      <c r="H7" s="35" t="n">
        <v>59600</v>
      </c>
      <c r="I7" s="35" t="n">
        <v>57900</v>
      </c>
      <c r="J7" s="35" t="n">
        <v>56200</v>
      </c>
      <c r="K7" s="35" t="n">
        <v>55100</v>
      </c>
      <c r="L7" s="35" t="n">
        <v>54000</v>
      </c>
      <c r="M7" s="35" t="n">
        <v>52300</v>
      </c>
      <c r="N7" s="35" t="n">
        <v>47200</v>
      </c>
      <c r="O7" s="36" t="n">
        <f aca="false">SUM(B7:N7)</f>
        <v>738500</v>
      </c>
      <c r="P7" s="37" t="n">
        <f aca="false">AVERAGE(B7:N7)</f>
        <v>56807.6923076923</v>
      </c>
      <c r="Q7" s="38" t="n">
        <f aca="false">N7-B7</f>
        <v>-6800</v>
      </c>
    </row>
    <row r="8" customFormat="false" ht="15" hidden="false" customHeight="true" outlineLevel="0" collapsed="false">
      <c r="A8" s="31" t="s">
        <v>16</v>
      </c>
      <c r="B8" s="35" t="n">
        <v>44600</v>
      </c>
      <c r="C8" s="35" t="n">
        <v>47600</v>
      </c>
      <c r="D8" s="35" t="n">
        <v>48600</v>
      </c>
      <c r="E8" s="35" t="n">
        <v>50100</v>
      </c>
      <c r="F8" s="35" t="n">
        <v>51200</v>
      </c>
      <c r="G8" s="35" t="n">
        <v>50600</v>
      </c>
      <c r="H8" s="35" t="n">
        <v>51700</v>
      </c>
      <c r="I8" s="35" t="n">
        <v>52200</v>
      </c>
      <c r="J8" s="35" t="n">
        <v>53200</v>
      </c>
      <c r="K8" s="35" t="n">
        <v>52700</v>
      </c>
      <c r="L8" s="35" t="n">
        <v>51700</v>
      </c>
      <c r="M8" s="35" t="n">
        <v>53700</v>
      </c>
      <c r="N8" s="35" t="n">
        <v>50500</v>
      </c>
      <c r="O8" s="36" t="n">
        <f aca="false">SUM(B8:N8)</f>
        <v>658400</v>
      </c>
      <c r="P8" s="37" t="n">
        <f aca="false">AVERAGE(B8:N8)</f>
        <v>50646.1538461538</v>
      </c>
      <c r="Q8" s="38" t="n">
        <f aca="false">N8-B8</f>
        <v>5900</v>
      </c>
    </row>
    <row r="9" customFormat="false" ht="15" hidden="false" customHeight="true" outlineLevel="0" collapsed="false">
      <c r="A9" s="31" t="s">
        <v>18</v>
      </c>
      <c r="B9" s="35" t="n">
        <v>42800</v>
      </c>
      <c r="C9" s="35" t="n">
        <v>42100</v>
      </c>
      <c r="D9" s="35" t="n">
        <v>41300</v>
      </c>
      <c r="E9" s="35" t="n">
        <v>40200</v>
      </c>
      <c r="F9" s="35" t="n">
        <v>39000</v>
      </c>
      <c r="G9" s="35" t="n">
        <v>38300</v>
      </c>
      <c r="H9" s="35" t="n">
        <v>37500</v>
      </c>
      <c r="I9" s="35" t="n">
        <v>36700</v>
      </c>
      <c r="J9" s="35" t="n">
        <v>36000</v>
      </c>
      <c r="K9" s="35" t="n">
        <v>35200</v>
      </c>
      <c r="L9" s="35" t="n">
        <v>36000</v>
      </c>
      <c r="M9" s="35" t="n">
        <v>36300</v>
      </c>
      <c r="N9" s="35" t="n">
        <v>35900</v>
      </c>
      <c r="O9" s="36" t="n">
        <f aca="false">SUM(B9:N9)</f>
        <v>497300</v>
      </c>
      <c r="P9" s="37" t="n">
        <f aca="false">AVERAGE(B9:N9)</f>
        <v>38253.8461538462</v>
      </c>
      <c r="Q9" s="38" t="n">
        <f aca="false">N9-B9</f>
        <v>-6900</v>
      </c>
    </row>
    <row r="10" customFormat="false" ht="15" hidden="false" customHeight="true" outlineLevel="0" collapsed="false">
      <c r="A10" s="31" t="s">
        <v>19</v>
      </c>
      <c r="B10" s="35" t="n">
        <v>29900</v>
      </c>
      <c r="C10" s="35" t="n">
        <v>30900</v>
      </c>
      <c r="D10" s="35" t="n">
        <v>32300</v>
      </c>
      <c r="E10" s="35" t="n">
        <v>33400</v>
      </c>
      <c r="F10" s="35" t="n">
        <v>34400</v>
      </c>
      <c r="G10" s="35" t="n">
        <v>35100</v>
      </c>
      <c r="H10" s="35" t="n">
        <v>36200</v>
      </c>
      <c r="I10" s="35" t="n">
        <v>36900</v>
      </c>
      <c r="J10" s="35" t="n">
        <v>37200</v>
      </c>
      <c r="K10" s="35" t="n">
        <v>37900</v>
      </c>
      <c r="L10" s="35" t="n">
        <v>37600</v>
      </c>
      <c r="M10" s="35" t="n">
        <v>38700</v>
      </c>
      <c r="N10" s="35" t="n">
        <v>36300</v>
      </c>
      <c r="O10" s="36" t="n">
        <f aca="false">SUM(B10:N10)</f>
        <v>456800</v>
      </c>
      <c r="P10" s="37" t="n">
        <f aca="false">AVERAGE(B10:N10)</f>
        <v>35138.4615384615</v>
      </c>
      <c r="Q10" s="38" t="n">
        <f aca="false">N10-B10</f>
        <v>6400</v>
      </c>
    </row>
    <row r="11" customFormat="false" ht="15" hidden="false" customHeight="true" outlineLevel="0" collapsed="false">
      <c r="A11" s="29" t="s">
        <v>81</v>
      </c>
      <c r="B11" s="39" t="n">
        <f aca="false">SUM(B5:B10)</f>
        <v>295300</v>
      </c>
      <c r="C11" s="39" t="n">
        <f aca="false">SUM(C5:C10)</f>
        <v>310500</v>
      </c>
      <c r="D11" s="39" t="n">
        <f aca="false">SUM(D5:D10)</f>
        <v>321000</v>
      </c>
      <c r="E11" s="39" t="n">
        <f aca="false">SUM(E5:E10)</f>
        <v>330800</v>
      </c>
      <c r="F11" s="39" t="n">
        <f aca="false">SUM(F5:F10)</f>
        <v>339300</v>
      </c>
      <c r="G11" s="39" t="n">
        <f aca="false">SUM(G5:G10)</f>
        <v>338300</v>
      </c>
      <c r="H11" s="39" t="n">
        <f aca="false">SUM(H5:H10)</f>
        <v>341600</v>
      </c>
      <c r="I11" s="39" t="n">
        <f aca="false">SUM(I5:I10)</f>
        <v>339700</v>
      </c>
      <c r="J11" s="39" t="n">
        <f aca="false">SUM(J5:J10)</f>
        <v>335600</v>
      </c>
      <c r="K11" s="39" t="n">
        <f aca="false">SUM(K5:K10)</f>
        <v>337700</v>
      </c>
      <c r="L11" s="39" t="n">
        <f aca="false">SUM(L5:L10)</f>
        <v>340400</v>
      </c>
      <c r="M11" s="39" t="n">
        <f aca="false">SUM(M5:M10)</f>
        <v>344300</v>
      </c>
      <c r="N11" s="39" t="n">
        <f aca="false">SUM(N5:N10)</f>
        <v>309300</v>
      </c>
      <c r="O11" s="30" t="n">
        <f aca="false">SUM(O5:O10)</f>
        <v>4283800</v>
      </c>
      <c r="P11" s="30" t="n">
        <f aca="false">AVERAGE(B11:N11)</f>
        <v>329523.076923077</v>
      </c>
      <c r="Q11" s="40" t="n">
        <f aca="false">N11-B11</f>
        <v>14000</v>
      </c>
    </row>
    <row r="13" customFormat="false" ht="15" hidden="false" customHeight="true" outlineLevel="0" collapsed="false">
      <c r="A13" s="14" t="s">
        <v>113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 customFormat="false" ht="36" hidden="false" customHeight="true" outlineLevel="0" collapsed="false">
      <c r="A14" s="31" t="s">
        <v>11</v>
      </c>
      <c r="B14" s="34" t="s">
        <v>114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customFormat="false" ht="36" hidden="false" customHeight="true" outlineLevel="0" collapsed="false">
      <c r="A15" s="31" t="s">
        <v>13</v>
      </c>
      <c r="B15" s="34" t="s">
        <v>115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</row>
    <row r="16" customFormat="false" ht="36" hidden="false" customHeight="true" outlineLevel="0" collapsed="false">
      <c r="A16" s="31" t="s">
        <v>15</v>
      </c>
      <c r="B16" s="34" t="s">
        <v>116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customFormat="false" ht="36" hidden="false" customHeight="true" outlineLevel="0" collapsed="false">
      <c r="A17" s="31" t="s">
        <v>16</v>
      </c>
      <c r="B17" s="34" t="s">
        <v>117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customFormat="false" ht="36" hidden="false" customHeight="true" outlineLevel="0" collapsed="false">
      <c r="A18" s="31" t="s">
        <v>18</v>
      </c>
      <c r="B18" s="34" t="s">
        <v>118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customFormat="false" ht="36" hidden="false" customHeight="true" outlineLevel="0" collapsed="false">
      <c r="A19" s="31" t="s">
        <v>19</v>
      </c>
      <c r="B19" s="34" t="s">
        <v>119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1" customFormat="false" ht="15" hidden="false" customHeight="true" outlineLevel="0" collapsed="false">
      <c r="A21" s="14" t="s">
        <v>120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customFormat="false" ht="31.5" hidden="false" customHeight="true" outlineLevel="0" collapsed="false">
      <c r="A22" s="27" t="s">
        <v>121</v>
      </c>
      <c r="B22" s="34" t="s">
        <v>122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customFormat="false" ht="31.5" hidden="false" customHeight="true" outlineLevel="0" collapsed="false">
      <c r="A23" s="27" t="s">
        <v>123</v>
      </c>
      <c r="B23" s="34" t="s">
        <v>124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</row>
    <row r="24" customFormat="false" ht="31.5" hidden="false" customHeight="true" outlineLevel="0" collapsed="false">
      <c r="A24" s="27" t="s">
        <v>125</v>
      </c>
      <c r="B24" s="34" t="s">
        <v>126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</row>
  </sheetData>
  <mergeCells count="12">
    <mergeCell ref="A1:Q1"/>
    <mergeCell ref="A13:Q13"/>
    <mergeCell ref="B14:Q14"/>
    <mergeCell ref="B15:Q15"/>
    <mergeCell ref="B16:Q16"/>
    <mergeCell ref="B17:Q17"/>
    <mergeCell ref="B18:Q18"/>
    <mergeCell ref="B19:Q19"/>
    <mergeCell ref="A21:Q21"/>
    <mergeCell ref="B22:Q22"/>
    <mergeCell ref="B23:Q23"/>
    <mergeCell ref="B24:Q24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tru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.75" hidden="false" customHeight="true" outlineLevel="0" collapsed="false">
      <c r="A1" s="20" t="s">
        <v>127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</sheetData>
  <mergeCells count="1">
    <mergeCell ref="A1:M1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.43"/>
    <col collapsed="false" customWidth="true" hidden="false" outlineLevel="0" max="2" min="2" style="1" width="13.71"/>
  </cols>
  <sheetData>
    <row r="1" customFormat="false" ht="15.75" hidden="false" customHeight="true" outlineLevel="0" collapsed="false">
      <c r="A1" s="20" t="s">
        <v>128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</row>
    <row r="4" customFormat="false" ht="15" hidden="false" customHeight="true" outlineLevel="0" collapsed="false">
      <c r="A4" s="6" t="s">
        <v>5</v>
      </c>
      <c r="B4" s="6" t="s">
        <v>49</v>
      </c>
    </row>
    <row r="5" customFormat="false" ht="15" hidden="false" customHeight="true" outlineLevel="0" collapsed="false">
      <c r="A5" s="8" t="s">
        <v>11</v>
      </c>
      <c r="B5" s="11" t="n">
        <f aca="false">'Composite Scores'!I12</f>
        <v>63</v>
      </c>
    </row>
    <row r="6" customFormat="false" ht="15" hidden="false" customHeight="true" outlineLevel="0" collapsed="false">
      <c r="A6" s="8" t="s">
        <v>13</v>
      </c>
      <c r="B6" s="11" t="n">
        <f aca="false">'Composite Scores'!I13</f>
        <v>54.8</v>
      </c>
    </row>
    <row r="7" customFormat="false" ht="15" hidden="false" customHeight="true" outlineLevel="0" collapsed="false">
      <c r="A7" s="8" t="s">
        <v>15</v>
      </c>
      <c r="B7" s="11" t="n">
        <f aca="false">'Composite Scores'!I14</f>
        <v>52.4</v>
      </c>
    </row>
    <row r="8" customFormat="false" ht="15" hidden="false" customHeight="true" outlineLevel="0" collapsed="false">
      <c r="A8" s="8" t="s">
        <v>16</v>
      </c>
      <c r="B8" s="11" t="n">
        <f aca="false">'Composite Scores'!I15</f>
        <v>41.2</v>
      </c>
    </row>
    <row r="9" customFormat="false" ht="15" hidden="false" customHeight="true" outlineLevel="0" collapsed="false">
      <c r="A9" s="8" t="s">
        <v>18</v>
      </c>
      <c r="B9" s="11" t="n">
        <f aca="false">'Composite Scores'!I16</f>
        <v>37.4</v>
      </c>
    </row>
    <row r="10" customFormat="false" ht="15" hidden="false" customHeight="true" outlineLevel="0" collapsed="false">
      <c r="A10" s="8" t="s">
        <v>19</v>
      </c>
      <c r="B10" s="11" t="n">
        <f aca="false">'Composite Scores'!I17</f>
        <v>34.1</v>
      </c>
    </row>
  </sheetData>
  <mergeCells count="1">
    <mergeCell ref="A1:G1"/>
  </mergeCells>
  <printOptions headings="false" gridLines="false" gridLinesSet="true" horizontalCentered="true" verticalCentered="false"/>
  <pageMargins left="0.5" right="0.5" top="0.6" bottom="0.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Composite Scores</vt:lpstr>
      <vt:lpstr>Tier Classification</vt:lpstr>
      <vt:lpstr>Top-2 Concentration</vt:lpstr>
      <vt:lpstr>Q2 Actions</vt:lpstr>
      <vt:lpstr>Weekly Volume</vt:lpstr>
      <vt:lpstr>Weekly Trends</vt:lpstr>
      <vt:lpstr>Composite Ranking</vt:lpstr>
    </vt:vector>
  </TitlesOfParts>
  <Company>Spuud Wholesale Distribution Co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Mo</cp:lastModifiedBy>
  <dcterms:created xsi:type="dcterms:W3CDTF">2026-04-29T02:36:43Z</dcterms:created>
  <dcterms:modified xsi:type="dcterms:W3CDTF">2026-04-29T04:51:04Z</dcterms:modified>
  <dc:title>Q1 2026 Distributor Performance Review</dc:title>
  <dc:subject>Spuud Distributor Performance</dc:subject>
  <dc:description/>
  <dc:language>en-US</dc:language>
  <cp:revision>4</cp:revision>
</cp:coreProperties>
</file>