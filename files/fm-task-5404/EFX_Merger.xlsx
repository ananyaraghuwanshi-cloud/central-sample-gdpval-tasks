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ndy\Downloads\"/>
    </mc:Choice>
  </mc:AlternateContent>
  <xr:revisionPtr revIDLastSave="0" documentId="13_ncr:1_{1BE64CDA-C7E7-41C5-805A-CAA2C76EEAC7}" xr6:coauthVersionLast="47" xr6:coauthVersionMax="47" xr10:uidLastSave="{00000000-0000-0000-0000-000000000000}"/>
  <bookViews>
    <workbookView xWindow="-108" yWindow="-108" windowWidth="23256" windowHeight="12456" xr2:uid="{2A146436-27D7-4C29-BE34-9BAA428AC2E2}"/>
  </bookViews>
  <sheets>
    <sheet name="EFX_Merger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0" i="1" l="1"/>
  <c r="H72" i="1" s="1"/>
  <c r="H74" i="1" s="1"/>
  <c r="H57" i="1"/>
  <c r="H59" i="1" s="1"/>
  <c r="H44" i="1"/>
  <c r="H40" i="1"/>
  <c r="H83" i="1" s="1"/>
  <c r="H15" i="1"/>
  <c r="H17" i="1" s="1"/>
  <c r="H76" i="1" l="1"/>
  <c r="H46" i="1"/>
  <c r="H85" i="1" s="1"/>
  <c r="H19" i="1"/>
  <c r="H96" i="1" s="1"/>
  <c r="H87" i="1" l="1"/>
  <c r="H89" i="1" s="1"/>
  <c r="H98" i="1"/>
  <c r="H78" i="1"/>
  <c r="H21" i="1"/>
  <c r="H25" i="1" s="1"/>
  <c r="H27" i="1" s="1"/>
  <c r="H31" i="1" s="1"/>
</calcChain>
</file>

<file path=xl/sharedStrings.xml><?xml version="1.0" encoding="utf-8"?>
<sst xmlns="http://schemas.openxmlformats.org/spreadsheetml/2006/main" count="61" uniqueCount="56">
  <si>
    <t>Prompt</t>
  </si>
  <si>
    <t>Acquisition Multiple (EV / EBITDA)</t>
  </si>
  <si>
    <t>Debt Costs</t>
  </si>
  <si>
    <t>Tax Rate</t>
  </si>
  <si>
    <t>Debt Portion</t>
  </si>
  <si>
    <t>End</t>
  </si>
  <si>
    <t>Acquisition EV (m)</t>
  </si>
  <si>
    <t>Initial Debt (m)</t>
  </si>
  <si>
    <t>Initial Equity (m)</t>
  </si>
  <si>
    <t>Equifax Transunion Merger Analysis</t>
  </si>
  <si>
    <t>Merger Assumptions</t>
  </si>
  <si>
    <t>Task 1: Debt and Equity Required to Fund Deal</t>
  </si>
  <si>
    <t>2025 GAAP EBITDA (m)</t>
  </si>
  <si>
    <t>Pg. 98</t>
  </si>
  <si>
    <t>Share Issue Price</t>
  </si>
  <si>
    <t>Task 2: Equity Issued</t>
  </si>
  <si>
    <t>Task 3: Credit Pulls</t>
  </si>
  <si>
    <t>Price per Pull</t>
  </si>
  <si>
    <t>Pg. 60</t>
  </si>
  <si>
    <t>Pg. 105</t>
  </si>
  <si>
    <t>Task 4: Revenue Build</t>
  </si>
  <si>
    <t>Pricing</t>
  </si>
  <si>
    <t>2025 Hard Pulls relative to Index</t>
  </si>
  <si>
    <t>Historical Average Pulls (Index)</t>
  </si>
  <si>
    <t>Multiplier</t>
  </si>
  <si>
    <t>Slide 46</t>
  </si>
  <si>
    <t>Task 5: EBIT Build</t>
  </si>
  <si>
    <t>Cost Synergies</t>
  </si>
  <si>
    <t>EBIT Margin</t>
  </si>
  <si>
    <t>Pro-forma EBIT margin pre-implementation costs</t>
  </si>
  <si>
    <t>Pro-forma EBIT margin</t>
  </si>
  <si>
    <t>Task 6: Unit Economics</t>
  </si>
  <si>
    <t>Standalone EBIT per pull</t>
  </si>
  <si>
    <t>Pro-forma EBIT per pull</t>
  </si>
  <si>
    <t>Change in EBIT per pull</t>
  </si>
  <si>
    <t>Task 7: Debt and Gearing</t>
  </si>
  <si>
    <t>Gross Debt / EBIT</t>
  </si>
  <si>
    <t>Pg. 78</t>
  </si>
  <si>
    <t>Pg. 1</t>
  </si>
  <si>
    <t>Equity Required (m)</t>
  </si>
  <si>
    <t>New Shares Issued (m)</t>
  </si>
  <si>
    <t>New Share Count (m)</t>
  </si>
  <si>
    <t>EFX 2025 Revenue (m)</t>
  </si>
  <si>
    <t>EFX Pulls (m)</t>
  </si>
  <si>
    <t>TRU 2025 Revenue (m)</t>
  </si>
  <si>
    <t>TRU Pulls (m)</t>
  </si>
  <si>
    <t>Total Pulls (m)</t>
  </si>
  <si>
    <t>Pro-forma Revenue (m)</t>
  </si>
  <si>
    <t>Implementation Costs (m)</t>
  </si>
  <si>
    <t>EFX EBIT (m)</t>
  </si>
  <si>
    <t>Pro-forma EBIT pre-implementation costs (m)</t>
  </si>
  <si>
    <t>Pro-forma EBIT (m)</t>
  </si>
  <si>
    <t>Pro-forma Pulls (m)</t>
  </si>
  <si>
    <t>EFX Standalone Debt (m)</t>
  </si>
  <si>
    <t>Post Acquisition Debt (m)</t>
  </si>
  <si>
    <t>Existing Shares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</si>
</sst>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#,##0;[Red]\(#,##0\);\-"/>
    <numFmt numFmtId="166" formatCode="#,##0.0;[Red]\(#,##0.0\);\-"/>
    <numFmt numFmtId="167" formatCode="0.0%"/>
    <numFmt numFmtId="168" formatCode="#,##0.0"/>
    <numFmt numFmtId="169" formatCode="0.0\x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indexed="48"/>
      <name val="Arial"/>
      <family val="2"/>
    </font>
    <font>
      <b/>
      <sz val="14"/>
      <color indexed="48"/>
      <name val="Aptos Narrow"/>
      <family val="2"/>
      <scheme val="minor"/>
    </font>
    <font>
      <b/>
      <sz val="10"/>
      <color rgb="FF0000CC"/>
      <name val="Arial"/>
      <family val="2"/>
    </font>
    <font>
      <b/>
      <sz val="11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9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  <xf numFmtId="0" fontId="3" fillId="0" borderId="0" xfId="0" applyFont="1"/>
    <xf numFmtId="0" fontId="3" fillId="2" borderId="2" xfId="0" applyFont="1" applyFill="1" applyBorder="1"/>
    <xf numFmtId="0" fontId="3" fillId="2" borderId="3" xfId="0" applyFont="1" applyFill="1" applyBorder="1"/>
    <xf numFmtId="167" fontId="0" fillId="0" borderId="0" xfId="1" applyNumberFormat="1" applyFont="1"/>
    <xf numFmtId="165" fontId="0" fillId="0" borderId="0" xfId="0" applyNumberFormat="1" applyAlignment="1">
      <alignment horizontal="right"/>
    </xf>
    <xf numFmtId="168" fontId="0" fillId="0" borderId="0" xfId="0" applyNumberFormat="1"/>
    <xf numFmtId="168" fontId="3" fillId="2" borderId="4" xfId="0" applyNumberFormat="1" applyFont="1" applyFill="1" applyBorder="1"/>
    <xf numFmtId="166" fontId="0" fillId="0" borderId="0" xfId="0" applyNumberFormat="1"/>
    <xf numFmtId="0" fontId="2" fillId="3" borderId="0" xfId="0" applyFont="1" applyFill="1"/>
    <xf numFmtId="0" fontId="4" fillId="3" borderId="0" xfId="0" applyFont="1" applyFill="1"/>
    <xf numFmtId="0" fontId="5" fillId="4" borderId="0" xfId="0" applyFont="1" applyFill="1"/>
    <xf numFmtId="0" fontId="6" fillId="4" borderId="0" xfId="0" applyFont="1" applyFill="1"/>
    <xf numFmtId="0" fontId="7" fillId="4" borderId="0" xfId="0" applyFont="1" applyFill="1"/>
    <xf numFmtId="0" fontId="5" fillId="4" borderId="1" xfId="0" applyFont="1" applyFill="1" applyBorder="1"/>
    <xf numFmtId="0" fontId="8" fillId="4" borderId="1" xfId="0" applyFont="1" applyFill="1" applyBorder="1"/>
    <xf numFmtId="0" fontId="7" fillId="4" borderId="1" xfId="0" applyFont="1" applyFill="1" applyBorder="1"/>
    <xf numFmtId="9" fontId="9" fillId="0" borderId="0" xfId="0" applyNumberFormat="1" applyFont="1"/>
    <xf numFmtId="166" fontId="0" fillId="0" borderId="0" xfId="0" applyNumberFormat="1" applyAlignment="1">
      <alignment horizontal="right"/>
    </xf>
    <xf numFmtId="166" fontId="3" fillId="0" borderId="0" xfId="0" applyNumberFormat="1" applyFont="1" applyAlignment="1">
      <alignment horizontal="right"/>
    </xf>
    <xf numFmtId="166" fontId="3" fillId="2" borderId="4" xfId="0" applyNumberFormat="1" applyFont="1" applyFill="1" applyBorder="1"/>
    <xf numFmtId="166" fontId="10" fillId="0" borderId="0" xfId="0" applyNumberFormat="1" applyFont="1" applyAlignment="1">
      <alignment horizontal="right"/>
    </xf>
    <xf numFmtId="167" fontId="9" fillId="0" borderId="0" xfId="0" applyNumberFormat="1" applyFont="1"/>
    <xf numFmtId="168" fontId="3" fillId="2" borderId="3" xfId="0" applyNumberFormat="1" applyFont="1" applyFill="1" applyBorder="1"/>
    <xf numFmtId="167" fontId="3" fillId="2" borderId="4" xfId="1" applyNumberFormat="1" applyFont="1" applyFill="1" applyBorder="1"/>
    <xf numFmtId="169" fontId="9" fillId="0" borderId="0" xfId="0" applyNumberFormat="1" applyFont="1"/>
    <xf numFmtId="166" fontId="8" fillId="0" borderId="0" xfId="0" applyNumberFormat="1" applyFont="1" applyAlignment="1">
      <alignment horizontal="right"/>
    </xf>
    <xf numFmtId="166" fontId="9" fillId="0" borderId="0" xfId="0" applyNumberFormat="1" applyFont="1" applyAlignment="1">
      <alignment horizontal="right"/>
    </xf>
    <xf numFmtId="0" fontId="2" fillId="0" borderId="0" xfId="0" applyFont="1"/>
    <xf numFmtId="167" fontId="3" fillId="2" borderId="3" xfId="1" applyNumberFormat="1" applyFont="1" applyFill="1" applyBorder="1"/>
    <xf numFmtId="168" fontId="9" fillId="0" borderId="0" xfId="0" applyNumberFormat="1" applyFont="1"/>
    <xf numFmtId="0" fontId="0" fillId="0" borderId="0" xfId="0" applyAlignment="1">
      <alignment horizontal="left"/>
    </xf>
    <xf numFmtId="4" fontId="10" fillId="0" borderId="0" xfId="0" applyNumberFormat="1" applyFont="1"/>
    <xf numFmtId="167" fontId="10" fillId="0" borderId="0" xfId="1" applyNumberFormat="1" applyFont="1" applyAlignment="1">
      <alignment horizontal="right"/>
    </xf>
    <xf numFmtId="0" fontId="0" fillId="0" borderId="0" xfId="0" applyAlignment="1">
      <alignment horizontal="left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FF"/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5AAB5-5908-4292-9EDD-72C92C1BDEBD}">
  <dimension ref="A1:O101"/>
  <sheetViews>
    <sheetView showGridLines="0" tabSelected="1" topLeftCell="A18" zoomScaleNormal="100" workbookViewId="0">
      <selection activeCell="B30" sqref="B30"/>
    </sheetView>
  </sheetViews>
  <sheetFormatPr defaultRowHeight="14.4" x14ac:dyDescent="0.3"/>
  <cols>
    <col min="1" max="1" width="2.109375" customWidth="1"/>
    <col min="7" max="7" width="13" customWidth="1"/>
    <col min="8" max="8" width="11.6640625" customWidth="1"/>
  </cols>
  <sheetData>
    <row r="1" spans="1:15" s="16" customFormat="1" ht="15.75" customHeight="1" x14ac:dyDescent="0.35">
      <c r="A1" s="14"/>
      <c r="B1" s="15" t="s">
        <v>9</v>
      </c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5" s="19" customFormat="1" ht="15.75" customHeight="1" thickBot="1" x14ac:dyDescent="0.35">
      <c r="A2" s="17"/>
      <c r="B2" s="18"/>
      <c r="C2" s="17"/>
      <c r="D2" s="17"/>
      <c r="E2" s="17"/>
      <c r="F2" s="17"/>
      <c r="G2" s="17"/>
      <c r="H2" s="17"/>
      <c r="I2" s="17"/>
      <c r="J2" s="17"/>
      <c r="K2" s="17"/>
      <c r="L2" s="17"/>
    </row>
    <row r="4" spans="1:15" x14ac:dyDescent="0.3">
      <c r="B4" s="12" t="s">
        <v>10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6" spans="1:15" x14ac:dyDescent="0.3">
      <c r="B6" t="s">
        <v>1</v>
      </c>
      <c r="H6" s="28">
        <v>15</v>
      </c>
    </row>
    <row r="7" spans="1:15" x14ac:dyDescent="0.3">
      <c r="B7" t="s">
        <v>4</v>
      </c>
      <c r="H7" s="25">
        <v>0.3</v>
      </c>
    </row>
    <row r="8" spans="1:15" x14ac:dyDescent="0.3">
      <c r="B8" t="s">
        <v>2</v>
      </c>
      <c r="H8" s="25">
        <v>6.5000000000000002E-2</v>
      </c>
    </row>
    <row r="9" spans="1:15" x14ac:dyDescent="0.3">
      <c r="B9" t="s">
        <v>14</v>
      </c>
      <c r="H9" s="33">
        <v>175</v>
      </c>
    </row>
    <row r="10" spans="1:15" x14ac:dyDescent="0.3">
      <c r="B10" t="s">
        <v>3</v>
      </c>
      <c r="H10" s="25">
        <v>0.21</v>
      </c>
    </row>
    <row r="13" spans="1:15" x14ac:dyDescent="0.3">
      <c r="B13" s="12" t="s">
        <v>11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5" spans="1:15" x14ac:dyDescent="0.3">
      <c r="B15" t="s">
        <v>12</v>
      </c>
      <c r="H15" s="24">
        <f>857.8+574.8</f>
        <v>1432.6</v>
      </c>
      <c r="I15" s="3" t="s">
        <v>13</v>
      </c>
    </row>
    <row r="17" spans="2:15" x14ac:dyDescent="0.3">
      <c r="B17" t="s">
        <v>6</v>
      </c>
      <c r="H17" s="24">
        <f>H15*H6</f>
        <v>21489</v>
      </c>
    </row>
    <row r="19" spans="2:15" x14ac:dyDescent="0.3">
      <c r="B19" s="5" t="s">
        <v>7</v>
      </c>
      <c r="C19" s="6"/>
      <c r="D19" s="6"/>
      <c r="E19" s="6"/>
      <c r="F19" s="6"/>
      <c r="G19" s="6"/>
      <c r="H19" s="23">
        <f>H17*H7</f>
        <v>6446.7</v>
      </c>
    </row>
    <row r="21" spans="2:15" x14ac:dyDescent="0.3">
      <c r="B21" s="5" t="s">
        <v>8</v>
      </c>
      <c r="C21" s="6"/>
      <c r="D21" s="6"/>
      <c r="E21" s="6"/>
      <c r="F21" s="6"/>
      <c r="G21" s="6"/>
      <c r="H21" s="23">
        <f>H17-H19</f>
        <v>15042.3</v>
      </c>
    </row>
    <row r="22" spans="2:15" x14ac:dyDescent="0.3">
      <c r="B22" s="4"/>
      <c r="C22" s="4"/>
      <c r="D22" s="4"/>
      <c r="E22" s="4"/>
      <c r="F22" s="4"/>
      <c r="G22" s="4"/>
      <c r="H22" s="29"/>
    </row>
    <row r="23" spans="2:15" x14ac:dyDescent="0.3">
      <c r="B23" s="12" t="s">
        <v>15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5" spans="2:15" x14ac:dyDescent="0.3">
      <c r="B25" t="s">
        <v>39</v>
      </c>
      <c r="H25" s="21">
        <f>H21</f>
        <v>15042.3</v>
      </c>
    </row>
    <row r="26" spans="2:15" x14ac:dyDescent="0.3">
      <c r="H26" s="3"/>
      <c r="K26" s="1"/>
      <c r="L26" s="2"/>
    </row>
    <row r="27" spans="2:15" x14ac:dyDescent="0.3">
      <c r="B27" s="5" t="s">
        <v>40</v>
      </c>
      <c r="C27" s="6"/>
      <c r="D27" s="6"/>
      <c r="E27" s="6"/>
      <c r="F27" s="6"/>
      <c r="G27" s="6"/>
      <c r="H27" s="23">
        <f>H25/H9</f>
        <v>85.955999999999989</v>
      </c>
      <c r="K27" s="1"/>
      <c r="L27" s="2"/>
    </row>
    <row r="28" spans="2:15" x14ac:dyDescent="0.3">
      <c r="B28" s="4"/>
      <c r="C28" s="4"/>
      <c r="D28" s="4"/>
      <c r="E28" s="4"/>
      <c r="F28" s="4"/>
      <c r="H28" s="22"/>
      <c r="K28" s="1"/>
      <c r="L28" s="2"/>
    </row>
    <row r="29" spans="2:15" x14ac:dyDescent="0.3">
      <c r="B29" t="s">
        <v>55</v>
      </c>
      <c r="H29" s="21">
        <v>120.3</v>
      </c>
      <c r="I29" s="37" t="s">
        <v>38</v>
      </c>
      <c r="K29" s="1"/>
      <c r="L29" s="2"/>
    </row>
    <row r="30" spans="2:15" x14ac:dyDescent="0.3">
      <c r="B30" s="4"/>
      <c r="C30" s="4"/>
      <c r="D30" s="4"/>
      <c r="E30" s="4"/>
      <c r="F30" s="4"/>
      <c r="H30" s="22"/>
      <c r="K30" s="1"/>
      <c r="L30" s="2"/>
    </row>
    <row r="31" spans="2:15" x14ac:dyDescent="0.3">
      <c r="B31" s="5" t="s">
        <v>41</v>
      </c>
      <c r="C31" s="6"/>
      <c r="D31" s="6"/>
      <c r="E31" s="6"/>
      <c r="F31" s="6"/>
      <c r="G31" s="6"/>
      <c r="H31" s="23">
        <f>H27+H29</f>
        <v>206.25599999999997</v>
      </c>
      <c r="K31" s="1"/>
      <c r="L31" s="2"/>
    </row>
    <row r="32" spans="2:15" x14ac:dyDescent="0.3">
      <c r="H32" s="3"/>
      <c r="J32" s="3"/>
      <c r="K32" s="1"/>
      <c r="L32" s="2"/>
    </row>
    <row r="33" spans="2:15" x14ac:dyDescent="0.3">
      <c r="H33" s="3"/>
      <c r="J33" s="3"/>
      <c r="K33" s="1"/>
      <c r="L33" s="2"/>
    </row>
    <row r="34" spans="2:15" x14ac:dyDescent="0.3">
      <c r="B34" s="12" t="s">
        <v>16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</row>
    <row r="35" spans="2:15" x14ac:dyDescent="0.3"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</row>
    <row r="36" spans="2:15" x14ac:dyDescent="0.3">
      <c r="B36" t="s">
        <v>17</v>
      </c>
      <c r="H36" s="33">
        <v>100</v>
      </c>
      <c r="I36" s="3" t="s">
        <v>0</v>
      </c>
    </row>
    <row r="37" spans="2:15" x14ac:dyDescent="0.3">
      <c r="H37" s="33"/>
    </row>
    <row r="38" spans="2:15" x14ac:dyDescent="0.3">
      <c r="B38" t="s">
        <v>42</v>
      </c>
      <c r="H38" s="11">
        <v>6074.5</v>
      </c>
      <c r="I38" s="3" t="s">
        <v>18</v>
      </c>
    </row>
    <row r="40" spans="2:15" x14ac:dyDescent="0.3">
      <c r="B40" s="5" t="s">
        <v>43</v>
      </c>
      <c r="C40" s="6"/>
      <c r="D40" s="6"/>
      <c r="E40" s="6"/>
      <c r="F40" s="6"/>
      <c r="G40" s="6"/>
      <c r="H40" s="23">
        <f>H38/$H$36</f>
        <v>60.744999999999997</v>
      </c>
    </row>
    <row r="42" spans="2:15" x14ac:dyDescent="0.3">
      <c r="B42" t="s">
        <v>44</v>
      </c>
      <c r="H42" s="11">
        <v>4576.3</v>
      </c>
      <c r="I42" s="3" t="s">
        <v>19</v>
      </c>
    </row>
    <row r="44" spans="2:15" x14ac:dyDescent="0.3">
      <c r="B44" s="5" t="s">
        <v>45</v>
      </c>
      <c r="C44" s="6"/>
      <c r="D44" s="6"/>
      <c r="E44" s="6"/>
      <c r="F44" s="6"/>
      <c r="G44" s="6"/>
      <c r="H44" s="23">
        <f>H42/$H$36</f>
        <v>45.763000000000005</v>
      </c>
    </row>
    <row r="46" spans="2:15" x14ac:dyDescent="0.3">
      <c r="B46" s="5" t="s">
        <v>46</v>
      </c>
      <c r="C46" s="6"/>
      <c r="D46" s="6"/>
      <c r="E46" s="6"/>
      <c r="F46" s="6"/>
      <c r="G46" s="6"/>
      <c r="H46" s="23">
        <f>H40+H44</f>
        <v>106.50800000000001</v>
      </c>
    </row>
    <row r="49" spans="2:15" x14ac:dyDescent="0.3">
      <c r="B49" s="12" t="s">
        <v>20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</row>
    <row r="51" spans="2:15" x14ac:dyDescent="0.3">
      <c r="B51" s="34" t="s">
        <v>21</v>
      </c>
      <c r="H51" s="25">
        <v>0.1</v>
      </c>
      <c r="I51" s="3" t="s">
        <v>0</v>
      </c>
    </row>
    <row r="52" spans="2:15" x14ac:dyDescent="0.3">
      <c r="G52" s="8"/>
      <c r="H52" s="21"/>
      <c r="I52" s="3"/>
    </row>
    <row r="53" spans="2:15" x14ac:dyDescent="0.3">
      <c r="B53" t="s">
        <v>23</v>
      </c>
      <c r="G53" s="8"/>
      <c r="H53" s="25">
        <v>1</v>
      </c>
      <c r="I53" s="3" t="s">
        <v>25</v>
      </c>
    </row>
    <row r="54" spans="2:15" x14ac:dyDescent="0.3">
      <c r="G54" s="8"/>
      <c r="H54" s="21"/>
      <c r="I54" s="3"/>
    </row>
    <row r="55" spans="2:15" x14ac:dyDescent="0.3">
      <c r="B55" t="s">
        <v>22</v>
      </c>
      <c r="G55" s="8"/>
      <c r="H55" s="25">
        <v>0.51300000000000001</v>
      </c>
      <c r="I55" s="3" t="s">
        <v>25</v>
      </c>
    </row>
    <row r="56" spans="2:15" x14ac:dyDescent="0.3">
      <c r="G56" s="8"/>
      <c r="H56" s="25"/>
      <c r="I56" s="3"/>
    </row>
    <row r="57" spans="2:15" x14ac:dyDescent="0.3">
      <c r="B57" t="s">
        <v>24</v>
      </c>
      <c r="G57" s="8"/>
      <c r="H57" s="35">
        <f>H53/H55</f>
        <v>1.9493177387914229</v>
      </c>
      <c r="I57" s="3"/>
    </row>
    <row r="58" spans="2:15" x14ac:dyDescent="0.3">
      <c r="G58" s="8"/>
      <c r="H58" s="25"/>
      <c r="I58" s="3"/>
    </row>
    <row r="59" spans="2:15" x14ac:dyDescent="0.3">
      <c r="B59" s="5" t="s">
        <v>47</v>
      </c>
      <c r="C59" s="6"/>
      <c r="D59" s="6"/>
      <c r="E59" s="6"/>
      <c r="F59" s="6"/>
      <c r="G59" s="6"/>
      <c r="H59" s="23">
        <f>(H38+H42)*(1+H51)*H57</f>
        <v>22837.972709551657</v>
      </c>
      <c r="I59" s="3"/>
    </row>
    <row r="62" spans="2:15" x14ac:dyDescent="0.3">
      <c r="B62" s="12" t="s">
        <v>26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</row>
    <row r="64" spans="2:15" x14ac:dyDescent="0.3">
      <c r="B64" t="s">
        <v>27</v>
      </c>
      <c r="H64" s="25">
        <v>0.02</v>
      </c>
      <c r="I64" s="3" t="s">
        <v>0</v>
      </c>
    </row>
    <row r="65" spans="2:9" x14ac:dyDescent="0.3">
      <c r="H65" s="20"/>
    </row>
    <row r="66" spans="2:9" x14ac:dyDescent="0.3">
      <c r="B66" t="s">
        <v>48</v>
      </c>
      <c r="H66" s="30">
        <v>200</v>
      </c>
      <c r="I66" s="3" t="s">
        <v>0</v>
      </c>
    </row>
    <row r="67" spans="2:9" x14ac:dyDescent="0.3">
      <c r="H67" s="30"/>
      <c r="I67" s="3"/>
    </row>
    <row r="68" spans="2:9" x14ac:dyDescent="0.3">
      <c r="B68" t="s">
        <v>49</v>
      </c>
      <c r="H68" s="11">
        <v>1095.2</v>
      </c>
      <c r="I68" s="3" t="s">
        <v>18</v>
      </c>
    </row>
    <row r="69" spans="2:9" x14ac:dyDescent="0.3">
      <c r="H69" s="11"/>
    </row>
    <row r="70" spans="2:9" x14ac:dyDescent="0.3">
      <c r="B70" t="s">
        <v>28</v>
      </c>
      <c r="H70" s="7">
        <f>H68/H38</f>
        <v>0.18029467445880321</v>
      </c>
    </row>
    <row r="71" spans="2:9" x14ac:dyDescent="0.3">
      <c r="H71" s="4"/>
    </row>
    <row r="72" spans="2:9" x14ac:dyDescent="0.3">
      <c r="B72" t="s">
        <v>29</v>
      </c>
      <c r="H72" s="36">
        <f>H64+H70</f>
        <v>0.2002946744588032</v>
      </c>
    </row>
    <row r="73" spans="2:9" x14ac:dyDescent="0.3">
      <c r="H73" s="36"/>
    </row>
    <row r="74" spans="2:9" x14ac:dyDescent="0.3">
      <c r="B74" t="s">
        <v>50</v>
      </c>
      <c r="H74" s="11">
        <f>H72*H59</f>
        <v>4574.324309158681</v>
      </c>
    </row>
    <row r="75" spans="2:9" x14ac:dyDescent="0.3">
      <c r="G75" s="24"/>
      <c r="H75" s="24"/>
    </row>
    <row r="76" spans="2:9" x14ac:dyDescent="0.3">
      <c r="B76" s="5" t="s">
        <v>51</v>
      </c>
      <c r="C76" s="6"/>
      <c r="D76" s="6"/>
      <c r="E76" s="6"/>
      <c r="F76" s="6"/>
      <c r="G76" s="6"/>
      <c r="H76" s="23">
        <f>H59*H72-H66</f>
        <v>4374.324309158681</v>
      </c>
    </row>
    <row r="77" spans="2:9" x14ac:dyDescent="0.3">
      <c r="G77" s="24"/>
      <c r="H77" s="24"/>
    </row>
    <row r="78" spans="2:9" x14ac:dyDescent="0.3">
      <c r="B78" t="s">
        <v>30</v>
      </c>
      <c r="G78" s="24"/>
      <c r="H78" s="36">
        <f>H76/H59</f>
        <v>0.19153732972669602</v>
      </c>
    </row>
    <row r="81" spans="2:15" x14ac:dyDescent="0.3">
      <c r="B81" s="12" t="s">
        <v>31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</row>
    <row r="83" spans="2:15" x14ac:dyDescent="0.3">
      <c r="B83" t="s">
        <v>32</v>
      </c>
      <c r="G83" s="24"/>
      <c r="H83" s="24">
        <f>ROUND(H68/H40,1)</f>
        <v>18</v>
      </c>
    </row>
    <row r="84" spans="2:15" x14ac:dyDescent="0.3">
      <c r="G84" s="24"/>
      <c r="H84" s="24"/>
    </row>
    <row r="85" spans="2:15" x14ac:dyDescent="0.3">
      <c r="B85" t="s">
        <v>52</v>
      </c>
      <c r="G85" s="24"/>
      <c r="H85" s="24">
        <f>H46*H57</f>
        <v>207.6179337231969</v>
      </c>
    </row>
    <row r="86" spans="2:15" x14ac:dyDescent="0.3">
      <c r="G86" s="24"/>
      <c r="H86" s="24"/>
    </row>
    <row r="87" spans="2:15" x14ac:dyDescent="0.3">
      <c r="B87" s="5" t="s">
        <v>33</v>
      </c>
      <c r="C87" s="6"/>
      <c r="D87" s="6"/>
      <c r="E87" s="6"/>
      <c r="F87" s="26"/>
      <c r="G87" s="26"/>
      <c r="H87" s="10">
        <f>ROUND(H76/H85,1)</f>
        <v>21.1</v>
      </c>
    </row>
    <row r="88" spans="2:15" x14ac:dyDescent="0.3">
      <c r="G88" s="24"/>
      <c r="H88" s="24"/>
    </row>
    <row r="89" spans="2:15" x14ac:dyDescent="0.3">
      <c r="B89" s="5" t="s">
        <v>34</v>
      </c>
      <c r="C89" s="6"/>
      <c r="D89" s="6"/>
      <c r="E89" s="6"/>
      <c r="F89" s="26"/>
      <c r="G89" s="32"/>
      <c r="H89" s="27">
        <f>H87/H83-1</f>
        <v>0.17222222222222228</v>
      </c>
    </row>
    <row r="92" spans="2:15" x14ac:dyDescent="0.3">
      <c r="B92" s="12" t="s">
        <v>35</v>
      </c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</row>
    <row r="93" spans="2:15" x14ac:dyDescent="0.3"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</row>
    <row r="94" spans="2:15" x14ac:dyDescent="0.3">
      <c r="B94" t="s">
        <v>53</v>
      </c>
      <c r="H94" s="11">
        <v>5114.2</v>
      </c>
      <c r="I94" s="3" t="s">
        <v>37</v>
      </c>
    </row>
    <row r="96" spans="2:15" x14ac:dyDescent="0.3">
      <c r="B96" t="s">
        <v>54</v>
      </c>
      <c r="F96" s="9"/>
      <c r="G96" s="9"/>
      <c r="H96" s="9">
        <f>H94+H19</f>
        <v>11560.9</v>
      </c>
    </row>
    <row r="98" spans="2:15" x14ac:dyDescent="0.3">
      <c r="B98" s="5" t="s">
        <v>36</v>
      </c>
      <c r="C98" s="6"/>
      <c r="D98" s="6"/>
      <c r="E98" s="6"/>
      <c r="F98" s="26"/>
      <c r="G98" s="26"/>
      <c r="H98" s="10">
        <f>H96/H76</f>
        <v>2.6428996075564233</v>
      </c>
    </row>
    <row r="101" spans="2:15" x14ac:dyDescent="0.3">
      <c r="B101" s="12" t="s">
        <v>5</v>
      </c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</row>
  </sheetData>
  <pageMargins left="0.7" right="0.7" top="0.75" bottom="0.75" header="0.3" footer="0.3"/>
  <ignoredErrors>
    <ignoredError sqref="H2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EFX_Merger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Suthesh J</dc:creator>
  <cp:lastModifiedBy>Cindy Sim</cp:lastModifiedBy>
  <dcterms:created xsi:type="dcterms:W3CDTF">2026-04-01T03:03:26Z</dcterms:created>
  <dcterms:modified xsi:type="dcterms:W3CDTF">2026-07-17T13:18:19Z</dcterms:modified>
</cp:coreProperties>
</file>