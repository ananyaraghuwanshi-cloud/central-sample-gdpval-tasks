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dy\Downloads\"/>
    </mc:Choice>
  </mc:AlternateContent>
  <xr:revisionPtr revIDLastSave="0" documentId="13_ncr:1_{976B4882-955D-4292-BC32-774549B2250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KPI Calculations" sheetId="1" r:id="rId1"/>
    <sheet name="Monthly Trend" sheetId="2" r:id="rId2"/>
    <sheet name="Payer Mix" sheetId="3" r:id="rId3"/>
    <sheet name="Recommendations" sheetId="4" r:id="rId4"/>
  </sheets>
  <calcPr calcId="181029"/>
</workbook>
</file>

<file path=xl/calcChain.xml><?xml version="1.0" encoding="utf-8"?>
<calcChain xmlns="http://schemas.openxmlformats.org/spreadsheetml/2006/main">
  <c r="I41" i="3" l="1" a="1"/>
  <c r="I41" i="3"/>
  <c r="G41" i="3" a="1"/>
  <c r="G41" i="3"/>
  <c r="H41" i="3" s="1" a="1"/>
  <c r="H41" i="3" s="1"/>
  <c r="J41" i="3" s="1" a="1"/>
  <c r="J41" i="3" s="1"/>
  <c r="I40" i="3" a="1"/>
  <c r="I40" i="3"/>
  <c r="G40" i="3" a="1"/>
  <c r="G40" i="3" s="1"/>
  <c r="H40" i="3" s="1" a="1"/>
  <c r="H40" i="3" s="1"/>
  <c r="J40" i="3" s="1" a="1"/>
  <c r="J40" i="3" s="1"/>
  <c r="I39" i="3" a="1"/>
  <c r="I39" i="3" s="1"/>
  <c r="G39" i="3" a="1"/>
  <c r="G39" i="3" s="1"/>
  <c r="H39" i="3" s="1" a="1"/>
  <c r="H39" i="3" s="1"/>
  <c r="J39" i="3" s="1" a="1"/>
  <c r="J39" i="3" s="1"/>
  <c r="I38" i="3" a="1"/>
  <c r="I38" i="3"/>
  <c r="H38" i="3" a="1"/>
  <c r="H38" i="3" s="1"/>
  <c r="J38" i="3" s="1" a="1"/>
  <c r="J38" i="3" s="1"/>
  <c r="G38" i="3" a="1"/>
  <c r="G38" i="3"/>
  <c r="I37" i="3" a="1"/>
  <c r="I37" i="3"/>
  <c r="G37" i="3" a="1"/>
  <c r="G37" i="3"/>
  <c r="H37" i="3" s="1" a="1"/>
  <c r="H37" i="3" s="1"/>
  <c r="J37" i="3" s="1" a="1"/>
  <c r="J37" i="3" s="1"/>
  <c r="I36" i="3" a="1"/>
  <c r="I36" i="3"/>
  <c r="I42" i="3" s="1" a="1"/>
  <c r="I42" i="3" s="1"/>
  <c r="G36" i="3" a="1"/>
  <c r="G36" i="3"/>
  <c r="H36" i="3" s="1" a="1"/>
  <c r="H36" i="3" s="1"/>
  <c r="F33" i="3" a="1"/>
  <c r="F33" i="3"/>
  <c r="D33" i="3" a="1"/>
  <c r="D33" i="3"/>
  <c r="B33" i="3" a="1"/>
  <c r="B33" i="3"/>
  <c r="C33" i="3" s="1" a="1"/>
  <c r="C33" i="3" s="1"/>
  <c r="A33" i="3" a="1"/>
  <c r="A33" i="3"/>
  <c r="F32" i="3" a="1"/>
  <c r="F32" i="3"/>
  <c r="D32" i="3" a="1"/>
  <c r="D32" i="3"/>
  <c r="B32" i="3" a="1"/>
  <c r="B32" i="3"/>
  <c r="C32" i="3" s="1" a="1"/>
  <c r="C32" i="3" s="1"/>
  <c r="A32" i="3" a="1"/>
  <c r="A32" i="3"/>
  <c r="F31" i="3" a="1"/>
  <c r="F31" i="3"/>
  <c r="D31" i="3" a="1"/>
  <c r="D31" i="3"/>
  <c r="B31" i="3" a="1"/>
  <c r="B31" i="3"/>
  <c r="C31" i="3" s="1" a="1"/>
  <c r="C31" i="3" s="1"/>
  <c r="A31" i="3" a="1"/>
  <c r="A31" i="3"/>
  <c r="F30" i="3" a="1"/>
  <c r="F30" i="3"/>
  <c r="D30" i="3" a="1"/>
  <c r="D30" i="3"/>
  <c r="B30" i="3" a="1"/>
  <c r="B30" i="3"/>
  <c r="C30" i="3" s="1" a="1"/>
  <c r="C30" i="3" s="1"/>
  <c r="A30" i="3" a="1"/>
  <c r="A30" i="3"/>
  <c r="F29" i="3" a="1"/>
  <c r="F29" i="3"/>
  <c r="D29" i="3" a="1"/>
  <c r="D29" i="3"/>
  <c r="B29" i="3" a="1"/>
  <c r="B29" i="3"/>
  <c r="C29" i="3" s="1" a="1"/>
  <c r="C29" i="3" s="1"/>
  <c r="A29" i="3" a="1"/>
  <c r="A29" i="3"/>
  <c r="F28" i="3" a="1"/>
  <c r="F28" i="3" s="1"/>
  <c r="D28" i="3" a="1"/>
  <c r="D28" i="3"/>
  <c r="B28" i="3" a="1"/>
  <c r="B28" i="3"/>
  <c r="C28" i="3" s="1" a="1"/>
  <c r="C28" i="3" s="1"/>
  <c r="A28" i="3" a="1"/>
  <c r="A28" i="3"/>
  <c r="B19" i="3" a="1"/>
  <c r="B19" i="3"/>
  <c r="B17" i="3" a="1"/>
  <c r="B17" i="3"/>
  <c r="B15" i="3" a="1"/>
  <c r="B15" i="3"/>
  <c r="B21" i="3" s="1" a="1"/>
  <c r="B21" i="3" s="1"/>
  <c r="D21" i="3" s="1" a="1"/>
  <c r="D21" i="3" s="1"/>
  <c r="B14" i="3" a="1"/>
  <c r="B14" i="3"/>
  <c r="I9" i="3" a="1"/>
  <c r="I9" i="3"/>
  <c r="J9" i="3" s="1" a="1"/>
  <c r="J9" i="3" s="1"/>
  <c r="I8" i="3" a="1"/>
  <c r="I8" i="3"/>
  <c r="J8" i="3" s="1" a="1"/>
  <c r="J8" i="3" s="1"/>
  <c r="I7" i="3" a="1"/>
  <c r="I7" i="3"/>
  <c r="J7" i="3" s="1" a="1"/>
  <c r="J7" i="3" s="1"/>
  <c r="I6" i="3" a="1"/>
  <c r="I6" i="3"/>
  <c r="J6" i="3" s="1" a="1"/>
  <c r="J6" i="3" s="1"/>
  <c r="E22" i="2" a="1"/>
  <c r="E22" i="2"/>
  <c r="E20" i="2" a="1"/>
  <c r="E20" i="2"/>
  <c r="K15" i="2" a="1"/>
  <c r="K15" i="2"/>
  <c r="J15" i="2" a="1"/>
  <c r="J15" i="2"/>
  <c r="K14" i="2" a="1"/>
  <c r="K14" i="2"/>
  <c r="J14" i="2" a="1"/>
  <c r="J14" i="2"/>
  <c r="K13" i="2" a="1"/>
  <c r="K13" i="2"/>
  <c r="J13" i="2" a="1"/>
  <c r="J13" i="2"/>
  <c r="I13" i="2" a="1"/>
  <c r="I13" i="2"/>
  <c r="G13" i="2" a="1"/>
  <c r="G13" i="2"/>
  <c r="C13" i="2" a="1"/>
  <c r="C13" i="2"/>
  <c r="B13" i="2" a="1"/>
  <c r="B13" i="2"/>
  <c r="A13" i="2" a="1"/>
  <c r="A13" i="2"/>
  <c r="K12" i="2" a="1"/>
  <c r="K12" i="2"/>
  <c r="J12" i="2" a="1"/>
  <c r="J12" i="2"/>
  <c r="I12" i="2" a="1"/>
  <c r="I12" i="2"/>
  <c r="G12" i="2" a="1"/>
  <c r="G12" i="2"/>
  <c r="C12" i="2" a="1"/>
  <c r="C12" i="2"/>
  <c r="B12" i="2" a="1"/>
  <c r="B12" i="2"/>
  <c r="A12" i="2" a="1"/>
  <c r="A12" i="2"/>
  <c r="K11" i="2" a="1"/>
  <c r="K11" i="2"/>
  <c r="J11" i="2" a="1"/>
  <c r="J11" i="2"/>
  <c r="I11" i="2" a="1"/>
  <c r="I11" i="2"/>
  <c r="G11" i="2" a="1"/>
  <c r="G11" i="2"/>
  <c r="K10" i="2" a="1"/>
  <c r="K10" i="2"/>
  <c r="J10" i="2" a="1"/>
  <c r="J10" i="2"/>
  <c r="K5" i="2" a="1"/>
  <c r="K5" i="2"/>
  <c r="H5" i="2" a="1"/>
  <c r="H5" i="2"/>
  <c r="E5" i="2" a="1"/>
  <c r="E5" i="2"/>
  <c r="B5" i="2" a="1"/>
  <c r="B5" i="2"/>
  <c r="B55" i="1" a="1"/>
  <c r="B55" i="1"/>
  <c r="B54" i="1" a="1"/>
  <c r="B54" i="1"/>
  <c r="D54" i="1" s="1" a="1"/>
  <c r="D54" i="1" s="1"/>
  <c r="B52" i="1" a="1"/>
  <c r="B52" i="1"/>
  <c r="B51" i="1" a="1"/>
  <c r="B51" i="1" s="1"/>
  <c r="B50" i="1" a="1"/>
  <c r="B50" i="1"/>
  <c r="B46" i="1" a="1"/>
  <c r="B46" i="1" s="1"/>
  <c r="B45" i="1" a="1"/>
  <c r="B45" i="1"/>
  <c r="B40" i="1" a="1"/>
  <c r="B40" i="1"/>
  <c r="B39" i="1" a="1"/>
  <c r="B39" i="1"/>
  <c r="B38" i="1" a="1"/>
  <c r="B38" i="1"/>
  <c r="B37" i="1" a="1"/>
  <c r="B37" i="1"/>
  <c r="B36" i="1" a="1"/>
  <c r="B36" i="1"/>
  <c r="B35" i="1" a="1"/>
  <c r="B35" i="1" s="1"/>
  <c r="K30" i="1" a="1"/>
  <c r="K30" i="1"/>
  <c r="J30" i="1" a="1"/>
  <c r="J30" i="1" s="1"/>
  <c r="H30" i="1" a="1"/>
  <c r="H30" i="1" s="1"/>
  <c r="I30" i="1" s="1" a="1"/>
  <c r="I30" i="1" s="1"/>
  <c r="G30" i="1" a="1"/>
  <c r="G30" i="1" s="1"/>
  <c r="D30" i="1" a="1"/>
  <c r="D30" i="1" s="1"/>
  <c r="E30" i="1" s="1" a="1"/>
  <c r="E30" i="1" s="1"/>
  <c r="F30" i="1" s="1" a="1"/>
  <c r="F30" i="1" s="1"/>
  <c r="C30" i="1" a="1"/>
  <c r="C30" i="1" s="1"/>
  <c r="B30" i="1" a="1"/>
  <c r="B30" i="1"/>
  <c r="B15" i="2" s="1" a="1"/>
  <c r="B15" i="2" s="1"/>
  <c r="A30" i="1" a="1"/>
  <c r="A30" i="1" s="1"/>
  <c r="A15" i="2" s="1" a="1"/>
  <c r="A15" i="2" s="1"/>
  <c r="K29" i="1" a="1"/>
  <c r="K29" i="1" s="1"/>
  <c r="J29" i="1" a="1"/>
  <c r="J29" i="1" s="1"/>
  <c r="H29" i="1" a="1"/>
  <c r="H29" i="1" s="1"/>
  <c r="I29" i="1" s="1" a="1"/>
  <c r="I29" i="1" s="1"/>
  <c r="G29" i="1" a="1"/>
  <c r="G29" i="1" s="1"/>
  <c r="D29" i="1" a="1"/>
  <c r="D29" i="1" s="1"/>
  <c r="E29" i="1" s="1" a="1"/>
  <c r="E29" i="1" s="1"/>
  <c r="F29" i="1" s="1" a="1"/>
  <c r="F29" i="1" s="1"/>
  <c r="C29" i="1" a="1"/>
  <c r="C29" i="1" s="1"/>
  <c r="B29" i="1" a="1"/>
  <c r="B29" i="1"/>
  <c r="B14" i="2" s="1" a="1"/>
  <c r="B14" i="2" s="1"/>
  <c r="A29" i="1" a="1"/>
  <c r="A29" i="1" s="1"/>
  <c r="A14" i="2" s="1" a="1"/>
  <c r="A14" i="2" s="1"/>
  <c r="O28" i="1" a="1"/>
  <c r="O28" i="1" s="1"/>
  <c r="K28" i="1" a="1"/>
  <c r="K28" i="1"/>
  <c r="J28" i="1" a="1"/>
  <c r="J28" i="1"/>
  <c r="H28" i="1" a="1"/>
  <c r="H28" i="1"/>
  <c r="I28" i="1" s="1" a="1"/>
  <c r="I28" i="1" s="1"/>
  <c r="G28" i="1" a="1"/>
  <c r="G28" i="1"/>
  <c r="N28" i="1" s="1" a="1"/>
  <c r="N28" i="1" s="1"/>
  <c r="D28" i="1" a="1"/>
  <c r="D28" i="1"/>
  <c r="E28" i="1" s="1" a="1"/>
  <c r="E28" i="1" s="1"/>
  <c r="F28" i="1" s="1" a="1"/>
  <c r="F28" i="1" s="1"/>
  <c r="C28" i="1" a="1"/>
  <c r="C28" i="1"/>
  <c r="L28" i="1" s="1" a="1"/>
  <c r="L28" i="1" s="1"/>
  <c r="B28" i="1" a="1"/>
  <c r="B28" i="1"/>
  <c r="A28" i="1" a="1"/>
  <c r="A28" i="1"/>
  <c r="K27" i="1" a="1"/>
  <c r="K27" i="1"/>
  <c r="J27" i="1" a="1"/>
  <c r="J27" i="1"/>
  <c r="O27" i="1" s="1" a="1"/>
  <c r="O27" i="1" s="1"/>
  <c r="H27" i="1" a="1"/>
  <c r="H27" i="1"/>
  <c r="I27" i="1" s="1" a="1"/>
  <c r="I27" i="1" s="1"/>
  <c r="G27" i="1" a="1"/>
  <c r="G27" i="1"/>
  <c r="N27" i="1" s="1" a="1"/>
  <c r="N27" i="1" s="1"/>
  <c r="D27" i="1" a="1"/>
  <c r="D27" i="1"/>
  <c r="E27" i="1" s="1" a="1"/>
  <c r="E27" i="1" s="1"/>
  <c r="F27" i="1" s="1" a="1"/>
  <c r="F27" i="1" s="1"/>
  <c r="C27" i="1" a="1"/>
  <c r="C27" i="1"/>
  <c r="L27" i="1" s="1" a="1"/>
  <c r="L27" i="1" s="1"/>
  <c r="B27" i="1" a="1"/>
  <c r="B27" i="1"/>
  <c r="A27" i="1" a="1"/>
  <c r="A27" i="1"/>
  <c r="K26" i="1" a="1"/>
  <c r="K26" i="1"/>
  <c r="J26" i="1" a="1"/>
  <c r="J26" i="1"/>
  <c r="O26" i="1" s="1" a="1"/>
  <c r="O26" i="1" s="1"/>
  <c r="H26" i="1" a="1"/>
  <c r="H26" i="1"/>
  <c r="I26" i="1" s="1" a="1"/>
  <c r="I26" i="1" s="1"/>
  <c r="G26" i="1" a="1"/>
  <c r="G26" i="1"/>
  <c r="N26" i="1" s="1" a="1"/>
  <c r="N26" i="1" s="1"/>
  <c r="D26" i="1" a="1"/>
  <c r="D26" i="1"/>
  <c r="E26" i="1" s="1" a="1"/>
  <c r="E26" i="1" s="1"/>
  <c r="F26" i="1" s="1" a="1"/>
  <c r="F26" i="1" s="1"/>
  <c r="C26" i="1" a="1"/>
  <c r="C26" i="1"/>
  <c r="B26" i="1" a="1"/>
  <c r="B26" i="1"/>
  <c r="B11" i="2" s="1" a="1"/>
  <c r="B11" i="2" s="1"/>
  <c r="A26" i="1" a="1"/>
  <c r="A26" i="1"/>
  <c r="A11" i="2" s="1" a="1"/>
  <c r="A11" i="2" s="1"/>
  <c r="K25" i="1" a="1"/>
  <c r="K25" i="1"/>
  <c r="J25" i="1" a="1"/>
  <c r="J25" i="1"/>
  <c r="H25" i="1" a="1"/>
  <c r="H25" i="1"/>
  <c r="I25" i="1" s="1" a="1"/>
  <c r="I25" i="1" s="1"/>
  <c r="G25" i="1" a="1"/>
  <c r="G25" i="1"/>
  <c r="D25" i="1" a="1"/>
  <c r="D25" i="1"/>
  <c r="E25" i="1" s="1" a="1"/>
  <c r="E25" i="1" s="1"/>
  <c r="F25" i="1" s="1" a="1"/>
  <c r="F25" i="1" s="1"/>
  <c r="C25" i="1" a="1"/>
  <c r="C25" i="1"/>
  <c r="B25" i="1" a="1"/>
  <c r="B25" i="1"/>
  <c r="B10" i="2" s="1" a="1"/>
  <c r="B10" i="2" s="1"/>
  <c r="A25" i="1" a="1"/>
  <c r="A25" i="1"/>
  <c r="A10" i="2" s="1" a="1"/>
  <c r="A10" i="2" s="1"/>
  <c r="O20" i="1" a="1"/>
  <c r="O20" i="1" s="1"/>
  <c r="P20" i="1" s="1" a="1"/>
  <c r="P20" i="1" s="1"/>
  <c r="O19" i="1" a="1"/>
  <c r="O19" i="1" s="1"/>
  <c r="P19" i="1" s="1" a="1"/>
  <c r="P19" i="1" s="1"/>
  <c r="O18" i="1" a="1"/>
  <c r="O18" i="1" s="1"/>
  <c r="P18" i="1" s="1" a="1"/>
  <c r="P18" i="1" s="1"/>
  <c r="O17" i="1" a="1"/>
  <c r="O17" i="1" s="1"/>
  <c r="P17" i="1" s="1" a="1"/>
  <c r="P17" i="1" s="1"/>
  <c r="O16" i="1" a="1"/>
  <c r="O16" i="1" s="1"/>
  <c r="P16" i="1" s="1" a="1"/>
  <c r="P16" i="1" s="1"/>
  <c r="O15" i="1" a="1"/>
  <c r="O15" i="1" s="1"/>
  <c r="P15" i="1" s="1" a="1"/>
  <c r="P15" i="1" s="1"/>
  <c r="J36" i="3" l="1" a="1"/>
  <c r="J36" i="3" s="1"/>
  <c r="H42" i="3" a="1"/>
  <c r="H42" i="3" s="1"/>
  <c r="J42" i="3" s="1" a="1"/>
  <c r="J42" i="3" s="1"/>
  <c r="E33" i="3" a="1"/>
  <c r="E33" i="3" s="1"/>
  <c r="G33" i="3" s="1" a="1"/>
  <c r="G33" i="3" s="1"/>
  <c r="D15" i="2" a="1"/>
  <c r="D15" i="2" s="1"/>
  <c r="E32" i="3" a="1"/>
  <c r="E32" i="3" s="1"/>
  <c r="G32" i="3" s="1" a="1"/>
  <c r="G32" i="3" s="1"/>
  <c r="D14" i="2" a="1"/>
  <c r="D14" i="2" s="1"/>
  <c r="E31" i="3" a="1"/>
  <c r="E31" i="3" s="1"/>
  <c r="G31" i="3" s="1" a="1"/>
  <c r="G31" i="3" s="1"/>
  <c r="D13" i="2" a="1"/>
  <c r="D13" i="2" s="1"/>
  <c r="E13" i="2" s="1" a="1"/>
  <c r="E13" i="2" s="1"/>
  <c r="E30" i="3" a="1"/>
  <c r="E30" i="3" s="1"/>
  <c r="G30" i="3" s="1" a="1"/>
  <c r="G30" i="3" s="1"/>
  <c r="D12" i="2" a="1"/>
  <c r="D12" i="2" s="1"/>
  <c r="E12" i="2" s="1" a="1"/>
  <c r="E12" i="2" s="1"/>
  <c r="E29" i="3" a="1"/>
  <c r="E29" i="3" s="1"/>
  <c r="G29" i="3" s="1" a="1"/>
  <c r="G29" i="3" s="1"/>
  <c r="D11" i="2" a="1"/>
  <c r="D11" i="2" s="1"/>
  <c r="E28" i="3" a="1"/>
  <c r="E28" i="3" s="1"/>
  <c r="G28" i="3" s="1" a="1"/>
  <c r="G28" i="3" s="1"/>
  <c r="D10" i="2" a="1"/>
  <c r="D10" i="2" s="1"/>
  <c r="B16" i="3" a="1"/>
  <c r="B16" i="3" s="1"/>
  <c r="B22" i="3" a="1"/>
  <c r="B22" i="3" s="1"/>
  <c r="B23" i="3" s="1" a="1"/>
  <c r="B23" i="3" s="1"/>
  <c r="D23" i="3" s="1" a="1"/>
  <c r="D23" i="3" s="1"/>
  <c r="D20" i="4" a="1"/>
  <c r="D20" i="4" s="1"/>
  <c r="D55" i="1" a="1"/>
  <c r="D55" i="1" s="1"/>
  <c r="D10" i="4" a="1"/>
  <c r="D10" i="4" s="1"/>
  <c r="H19" i="4" a="1"/>
  <c r="H19" i="4" s="1"/>
  <c r="D18" i="4" a="1"/>
  <c r="D18" i="4" s="1"/>
  <c r="C31" i="4" a="1"/>
  <c r="C31" i="4" s="1"/>
  <c r="C32" i="4" a="1"/>
  <c r="C32" i="4" s="1"/>
  <c r="D51" i="1" a="1"/>
  <c r="D51" i="1" s="1"/>
  <c r="D16" i="4" a="1"/>
  <c r="D16" i="4" s="1"/>
  <c r="D8" i="4" a="1"/>
  <c r="D8" i="4" s="1"/>
  <c r="D50" i="1" a="1"/>
  <c r="D50" i="1" s="1"/>
  <c r="D46" i="1" a="1"/>
  <c r="D46" i="1" s="1"/>
  <c r="A5" i="2" a="1"/>
  <c r="A5" i="2" s="1"/>
  <c r="B20" i="2" a="1"/>
  <c r="B20" i="2" s="1"/>
  <c r="F20" i="2" s="1" a="1"/>
  <c r="F20" i="2" s="1"/>
  <c r="D7" i="4" a="1"/>
  <c r="D7" i="4" s="1"/>
  <c r="D15" i="4" a="1"/>
  <c r="D15" i="4" s="1"/>
  <c r="D6" i="4" a="1"/>
  <c r="D6" i="4" s="1"/>
  <c r="D40" i="1" a="1"/>
  <c r="D40" i="1" s="1"/>
  <c r="F14" i="4" s="1" a="1"/>
  <c r="F14" i="4" s="1"/>
  <c r="D14" i="4" a="1"/>
  <c r="D14" i="4" s="1"/>
  <c r="O30" i="1" a="1"/>
  <c r="O30" i="1" s="1"/>
  <c r="B53" i="1" a="1"/>
  <c r="B53" i="1" s="1"/>
  <c r="I15" i="2" a="1"/>
  <c r="I15" i="2" s="1"/>
  <c r="P30" i="1" a="1"/>
  <c r="P30" i="1" s="1"/>
  <c r="H15" i="2" a="1"/>
  <c r="H15" i="2" s="1"/>
  <c r="G15" i="2" a="1"/>
  <c r="G15" i="2" s="1"/>
  <c r="N30" i="1" a="1"/>
  <c r="N30" i="1" s="1"/>
  <c r="M30" i="1" a="1"/>
  <c r="M30" i="1" s="1"/>
  <c r="F15" i="2" a="1"/>
  <c r="F15" i="2" s="1"/>
  <c r="L30" i="1" a="1"/>
  <c r="L30" i="1" s="1"/>
  <c r="C15" i="2" a="1"/>
  <c r="C15" i="2" s="1"/>
  <c r="O29" i="1" a="1"/>
  <c r="O29" i="1" s="1"/>
  <c r="I14" i="2" a="1"/>
  <c r="I14" i="2" s="1"/>
  <c r="P29" i="1" a="1"/>
  <c r="P29" i="1" s="1"/>
  <c r="H14" i="2" a="1"/>
  <c r="H14" i="2" s="1"/>
  <c r="G14" i="2" a="1"/>
  <c r="G14" i="2" s="1"/>
  <c r="N29" i="1" a="1"/>
  <c r="N29" i="1" s="1"/>
  <c r="F14" i="2" a="1"/>
  <c r="F14" i="2" s="1"/>
  <c r="M29" i="1" a="1"/>
  <c r="M29" i="1" s="1"/>
  <c r="L29" i="1" a="1"/>
  <c r="L29" i="1" s="1"/>
  <c r="C14" i="2" a="1"/>
  <c r="C14" i="2" s="1"/>
  <c r="E14" i="2" s="1" a="1"/>
  <c r="E14" i="2" s="1"/>
  <c r="P28" i="1" a="1"/>
  <c r="P28" i="1" s="1"/>
  <c r="H13" i="2" a="1"/>
  <c r="H13" i="2" s="1"/>
  <c r="M28" i="1" a="1"/>
  <c r="M28" i="1" s="1"/>
  <c r="B48" i="1" a="1"/>
  <c r="B48" i="1" s="1"/>
  <c r="F13" i="2" a="1"/>
  <c r="F13" i="2" s="1"/>
  <c r="P27" i="1" a="1"/>
  <c r="P27" i="1" s="1"/>
  <c r="H12" i="2" a="1"/>
  <c r="H12" i="2" s="1"/>
  <c r="M27" i="1" a="1"/>
  <c r="M27" i="1" s="1"/>
  <c r="F12" i="2" a="1"/>
  <c r="F12" i="2" s="1"/>
  <c r="P26" i="1" a="1"/>
  <c r="P26" i="1" s="1"/>
  <c r="H11" i="2" a="1"/>
  <c r="H11" i="2" s="1"/>
  <c r="M26" i="1" a="1"/>
  <c r="M26" i="1" s="1"/>
  <c r="F11" i="2" a="1"/>
  <c r="F11" i="2" s="1"/>
  <c r="C11" i="2" a="1"/>
  <c r="C11" i="2" s="1"/>
  <c r="L26" i="1" a="1"/>
  <c r="L26" i="1" s="1"/>
  <c r="I10" i="2" a="1"/>
  <c r="I10" i="2" s="1"/>
  <c r="O25" i="1" a="1"/>
  <c r="O25" i="1" s="1"/>
  <c r="P25" i="1" a="1"/>
  <c r="P25" i="1" s="1"/>
  <c r="H10" i="2" a="1"/>
  <c r="H10" i="2" s="1"/>
  <c r="G10" i="2" a="1"/>
  <c r="G10" i="2" s="1"/>
  <c r="N25" i="1" a="1"/>
  <c r="N25" i="1" s="1"/>
  <c r="M25" i="1" a="1"/>
  <c r="M25" i="1" s="1"/>
  <c r="F10" i="2" a="1"/>
  <c r="F10" i="2" s="1"/>
  <c r="B47" i="1" a="1"/>
  <c r="B47" i="1" s="1"/>
  <c r="C10" i="2" a="1"/>
  <c r="C10" i="2" s="1"/>
  <c r="L25" i="1" a="1"/>
  <c r="L25" i="1" s="1"/>
  <c r="B56" i="1" a="1"/>
  <c r="B56" i="1" s="1"/>
  <c r="D56" i="1" s="1" a="1"/>
  <c r="D56" i="1" s="1"/>
  <c r="D16" i="3" l="1" a="1"/>
  <c r="D16" i="3" s="1"/>
  <c r="B18" i="3" a="1"/>
  <c r="B18" i="3" s="1"/>
  <c r="B20" i="3" s="1" a="1"/>
  <c r="B20" i="3" s="1"/>
  <c r="F6" i="4" a="1"/>
  <c r="F6" i="4" s="1"/>
  <c r="D9" i="4" a="1"/>
  <c r="D9" i="4" s="1"/>
  <c r="F9" i="4" a="1"/>
  <c r="F9" i="4" s="1"/>
  <c r="D17" i="4" a="1"/>
  <c r="D17" i="4" s="1"/>
  <c r="H17" i="4" a="1"/>
  <c r="H17" i="4" s="1"/>
  <c r="B41" i="1" a="1"/>
  <c r="B41" i="1" s="1"/>
  <c r="B22" i="2" a="1"/>
  <c r="B22" i="2" s="1"/>
  <c r="F22" i="2" s="1" a="1"/>
  <c r="F22" i="2" s="1"/>
  <c r="F16" i="4" a="1"/>
  <c r="F16" i="4" s="1"/>
  <c r="G5" i="2" a="1"/>
  <c r="G5" i="2" s="1"/>
  <c r="D53" i="1" a="1"/>
  <c r="D53" i="1" s="1"/>
  <c r="E23" i="2" a="1"/>
  <c r="E23" i="2" s="1"/>
  <c r="F8" i="4" a="1"/>
  <c r="F8" i="4" s="1"/>
  <c r="H16" i="4" a="1"/>
  <c r="H16" i="4" s="1"/>
  <c r="H18" i="4" a="1"/>
  <c r="H18" i="4" s="1"/>
  <c r="B49" i="1" a="1"/>
  <c r="B49" i="1" s="1"/>
  <c r="E21" i="2" a="1"/>
  <c r="E21" i="2" s="1"/>
  <c r="H15" i="4" a="1"/>
  <c r="H15" i="4" s="1"/>
  <c r="E15" i="2" a="1"/>
  <c r="E15" i="2" s="1"/>
  <c r="E11" i="2" a="1"/>
  <c r="E11" i="2" s="1"/>
  <c r="E10" i="2" a="1"/>
  <c r="E10" i="2" s="1"/>
  <c r="D20" i="3" l="1" a="1"/>
  <c r="D20" i="3" s="1"/>
  <c r="H14" i="4" a="1"/>
  <c r="H14" i="4" s="1"/>
  <c r="D19" i="4" a="1"/>
  <c r="D19" i="4" s="1"/>
  <c r="B42" i="1" a="1"/>
  <c r="B42" i="1" s="1"/>
  <c r="D42" i="1" s="1" a="1"/>
  <c r="D42" i="1" s="1"/>
  <c r="D41" i="1" a="1"/>
  <c r="D41" i="1" s="1"/>
  <c r="B43" i="1" a="1"/>
  <c r="B43" i="1" s="1"/>
  <c r="B44" i="1" s="1" a="1"/>
  <c r="B44" i="1" s="1"/>
  <c r="D44" i="1" s="1" a="1"/>
  <c r="D44" i="1" s="1"/>
  <c r="J5" i="2" a="1"/>
  <c r="J5" i="2" s="1"/>
  <c r="B23" i="2" a="1"/>
  <c r="B23" i="2" s="1"/>
  <c r="F23" i="2" s="1" a="1"/>
  <c r="F23" i="2" s="1"/>
  <c r="D49" i="1" a="1"/>
  <c r="D49" i="1" s="1"/>
  <c r="B21" i="2" a="1"/>
  <c r="B21" i="2" s="1"/>
  <c r="F21" i="2" s="1" a="1"/>
  <c r="F21" i="2" s="1"/>
  <c r="F7" i="4" a="1"/>
  <c r="F7" i="4" s="1"/>
  <c r="F15" i="4" a="1"/>
  <c r="F15" i="4" s="1"/>
  <c r="D5" i="2" a="1"/>
  <c r="D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<sst xmlns="http://schemas.openxmlformats.org/spreadsheetml/2006/main" count="502" uniqueCount="340">
  <si>
    <t>Winter Park Primary Care Clinic Fiscal Analysis as of July 01, 2026</t>
  </si>
  <si>
    <t>Clinic context: 3 physicians; 7,500 active patients in Indiana; Review period: Jan 2026-Jun 2026, US dollars; Source cross-references use source workbook name, tab name, and field.</t>
  </si>
  <si>
    <t>Workbook Formulas</t>
  </si>
  <si>
    <t>Metric</t>
  </si>
  <si>
    <t>Formula used in this workbook</t>
  </si>
  <si>
    <t>Benchmark / rule</t>
  </si>
  <si>
    <t>Gross Collection Rate</t>
  </si>
  <si>
    <t>Cash Collections / Gross Charges</t>
  </si>
  <si>
    <t>Informational trend metric</t>
  </si>
  <si>
    <t>Net Collection Rate</t>
  </si>
  <si>
    <t>Cash Collections / Net Patient Revenue</t>
  </si>
  <si>
    <t>95.0% or higher</t>
  </si>
  <si>
    <t>Days in A/R</t>
  </si>
  <si>
    <t>Ending A/R / (rolling 90-day gross charges / 90)</t>
  </si>
  <si>
    <t>40 days or lower</t>
  </si>
  <si>
    <t>Dollar Denial Rate</t>
  </si>
  <si>
    <t>Denied Claims ($) / Gross Charges</t>
  </si>
  <si>
    <t>Significant if &gt;5.0%</t>
  </si>
  <si>
    <t>Clean Claim Rate</t>
  </si>
  <si>
    <t>1 - (Denied Claims Count / Submitted Claims Count)</t>
  </si>
  <si>
    <t>% A/R &gt;90 Days</t>
  </si>
  <si>
    <t>Over 90 Days A/R / Total A/R Aging Balance</t>
  </si>
  <si>
    <t>&lt;15.0% of total A/R</t>
  </si>
  <si>
    <t>Monthly source data</t>
  </si>
  <si>
    <t>Month</t>
  </si>
  <si>
    <t>Month End</t>
  </si>
  <si>
    <t>Gross Charges</t>
  </si>
  <si>
    <t>Contractual Adjustments</t>
  </si>
  <si>
    <t>Net Patient Revenue</t>
  </si>
  <si>
    <t>Cash Collections</t>
  </si>
  <si>
    <t>Ending A/R</t>
  </si>
  <si>
    <t>Denied Claims ($)</t>
  </si>
  <si>
    <t>Bad Debt Write-Offs</t>
  </si>
  <si>
    <t>Submitted Claims Count</t>
  </si>
  <si>
    <t>Denied Claims Count</t>
  </si>
  <si>
    <t>Over 90 Days A/R</t>
  </si>
  <si>
    <t>Total A/R Aging</t>
  </si>
  <si>
    <t>Payments Posted (A/R Rollforward)</t>
  </si>
  <si>
    <t>Payment Detail Total</t>
  </si>
  <si>
    <t>Tie Variance</t>
  </si>
  <si>
    <t>Likely Recoverable %</t>
  </si>
  <si>
    <t>Estimated Recoverable Denials</t>
  </si>
  <si>
    <t>Primary Denial Driver</t>
  </si>
  <si>
    <t>Source information</t>
  </si>
  <si>
    <t>Jan</t>
  </si>
  <si>
    <t>Eligibility and registration mismatches</t>
  </si>
  <si>
    <t>Feb</t>
  </si>
  <si>
    <t>Eligibility and prior authorization</t>
  </si>
  <si>
    <t>Mar</t>
  </si>
  <si>
    <t>Coding edits and missing documentation</t>
  </si>
  <si>
    <t>Apr</t>
  </si>
  <si>
    <t>Eligibility process transition errors</t>
  </si>
  <si>
    <t>May</t>
  </si>
  <si>
    <t>Billing vacancy and payer follow-up delays</t>
  </si>
  <si>
    <t>Jun</t>
  </si>
  <si>
    <t>Eligibility, coding, and untimely follow-up</t>
  </si>
  <si>
    <t>Explicit intermediate KPI table by month</t>
  </si>
  <si>
    <t>90-Day Gross Charge Window</t>
  </si>
  <si>
    <t>Avg Daily Gross Charges</t>
  </si>
  <si>
    <t>Claim Denial Rate</t>
  </si>
  <si>
    <t>Bad Debt Rate</t>
  </si>
  <si>
    <t>Net Collection vs 95%</t>
  </si>
  <si>
    <t>Days in A/R vs 40</t>
  </si>
  <si>
    <t>Denials vs 5%</t>
  </si>
  <si>
    <t>A/R &gt;90 vs 15%</t>
  </si>
  <si>
    <t>Clean Claim vs 95%</t>
  </si>
  <si>
    <t>Six-month summary assessment</t>
  </si>
  <si>
    <t>Calculated Result</t>
  </si>
  <si>
    <t>Benchmark / Rule</t>
  </si>
  <si>
    <t>Status</t>
  </si>
  <si>
    <t>Notes</t>
  </si>
  <si>
    <t>Analysis date</t>
  </si>
  <si>
    <t>As of July 1, 2026</t>
  </si>
  <si>
    <t>Informational</t>
  </si>
  <si>
    <t>Reference_Workbook_1.xlsx ; Monthly_Financials: analysis period Jan-Jun 2026; report completed as of July 01, 2026.</t>
  </si>
  <si>
    <t>Six-month gross charges</t>
  </si>
  <si>
    <t>Reference_Workbook_1.xlsx ; Monthly_Financials: Gross Charges C15:C20.</t>
  </si>
  <si>
    <t>Six-month net patient revenue</t>
  </si>
  <si>
    <t>Reference_Workbook_1.xlsx ; Monthly_Financials: Net Patient Revenue E15:E20.</t>
  </si>
  <si>
    <t>Six-month cash collections</t>
  </si>
  <si>
    <t>Reference_Workbook_1.xlsx ; Monthly_Financials: Cash Collections F15:F20.</t>
  </si>
  <si>
    <t>Gross collection rate</t>
  </si>
  <si>
    <t>Formula: six-month cash collections / six-month gross charges.</t>
  </si>
  <si>
    <t>Net collection rate</t>
  </si>
  <si>
    <t>Formula: six-month cash collections / six-month net patient revenue; contractual adjustments excluded per clinic policy.</t>
  </si>
  <si>
    <t>Payer-mix-adjusted expected collection rate</t>
  </si>
  <si>
    <t>Use blended pre/post fee schedule rate</t>
  </si>
  <si>
    <t>Reference_Workbook_2.xlsx ; Payer_Mix and Fee_Schedule: payer mix share plus pre/post collection rates; Payer Mix tab B16.</t>
  </si>
  <si>
    <t>Actual vs expected rate gap</t>
  </si>
  <si>
    <t>Negative gap indicates underperformance</t>
  </si>
  <si>
    <t>Formula: actual net collection rate minus payer-mix-adjusted expected collection rate.</t>
  </si>
  <si>
    <t>Expected collections at adjusted rate</t>
  </si>
  <si>
    <t>Formula: payer-mix-adjusted expected rate x six-month net patient revenue.</t>
  </si>
  <si>
    <t>Cash shortfall vs adjusted expectation</t>
  </si>
  <si>
    <t>Positive value indicates missed cash opportunity</t>
  </si>
  <si>
    <t>Formula: expected collections at adjusted rate minus actual cash collections.</t>
  </si>
  <si>
    <t>June ending A/R</t>
  </si>
  <si>
    <t>Reference_Workbook_1.xlsx ; Monthly_Financials: Ending A/R for June.</t>
  </si>
  <si>
    <t>A/R dollar trend</t>
  </si>
  <si>
    <t>Classify improvement/stability/worsening</t>
  </si>
  <si>
    <t>Formula: June ending A/R vs January ending A/R; stable if &lt; 10% worsening threshold applied analogously from the Days in A/R rule.</t>
  </si>
  <si>
    <t>Q1 average Days in A/R</t>
  </si>
  <si>
    <t>Formula: average of Jan-Mar Days in A/R from rolling 90-day gross-charge methodology.</t>
  </si>
  <si>
    <t>Q2 average Days in A/R</t>
  </si>
  <si>
    <t>Formula: average of Apr-Jun Days in A/R from rolling 90-day gross-charge methodology.</t>
  </si>
  <si>
    <t>Days in A/R trend</t>
  </si>
  <si>
    <t>Worsening only if increase &gt;10%</t>
  </si>
  <si>
    <t>Formula: Q2 average Days in A/R compared to Q1; worsening only if Q2 is &gt;10% higher than Q1.</t>
  </si>
  <si>
    <t>Six-month dollar denial rate</t>
  </si>
  <si>
    <t>Denied dollars above 5% threshold</t>
  </si>
  <si>
    <t>Quantify excess above 5.0%</t>
  </si>
  <si>
    <t>Formula: denied dollars above the 5.0% significance threshold.</t>
  </si>
  <si>
    <t>Estimated recoverable denials (60%)</t>
  </si>
  <si>
    <t>June % A/R over 90 days</t>
  </si>
  <si>
    <t>&lt;15.0%</t>
  </si>
  <si>
    <t>Reference_Workbook_1.xlsx ; AR_Aging: June Over 90 Days A/R and Total A/R Aging; Reference_Workbook_2.xlsx ; Benchmarks: &lt;15.0% target.</t>
  </si>
  <si>
    <t>Six-month clean claim rate</t>
  </si>
  <si>
    <t>Bad debt write-off rate</t>
  </si>
  <si>
    <t>&lt;3.0%</t>
  </si>
  <si>
    <t>Within benchmark</t>
  </si>
  <si>
    <t>Reference_Workbook_1.xlsx ; Monthly_Financials: Bad Debt Write-Offs and Net Patient Revenue; Reference_Workbook_2.xlsx ; Benchmarks: &lt;3.0%.</t>
  </si>
  <si>
    <t>Payment tie variance</t>
  </si>
  <si>
    <t>Must tie within $0.01</t>
  </si>
  <si>
    <t>Reference_Workbook_1.xlsx ; AR_Rollforward: Payments Posted; Reference_Workbook_2.xlsx ; Payment_Detail: Payments Posted; variance must be within $0.01.</t>
  </si>
  <si>
    <t>Days in A/R methodology note</t>
  </si>
  <si>
    <t>Days in A/R uses ending A/R divided by rolling 90-day average daily gross charges. Jan-Feb use the first available full 90-day gross-charge window (Jan-Mar = $2,455,000.00 / 90) because prior-period data is unavailable; March uses Jan-Mar; April uses Feb-Apr; May uses Mar-May; June uses Apr-Jun.</t>
  </si>
  <si>
    <t>Monthly Trend Analysis</t>
  </si>
  <si>
    <t xml:space="preserve">Trend classifications use workbook rules: A/R stable if period change is &lt; 10% worsening threshold applied analogously from the Days in A/R rule; Days in A/R improves if Q2 average is below Q1 average and only worsens if it increases &gt;10%; denials are significant if dollar denial rate exceeds 5.0% </t>
  </si>
  <si>
    <t>A/R Dollars</t>
  </si>
  <si>
    <t>Denials</t>
  </si>
  <si>
    <t>A/R &gt;90 Days</t>
  </si>
  <si>
    <t>Monthly KPI trend table</t>
  </si>
  <si>
    <t>Expected Net Collection Rate</t>
  </si>
  <si>
    <t>Net Collection Gap</t>
  </si>
  <si>
    <t>Source / Cross-reference</t>
  </si>
  <si>
    <t>Interpretation</t>
  </si>
  <si>
    <t>Item</t>
  </si>
  <si>
    <t>Formula-driven result</t>
  </si>
  <si>
    <t>Decision rule</t>
  </si>
  <si>
    <t>Supporting value</t>
  </si>
  <si>
    <t>Flag</t>
  </si>
  <si>
    <t>A/R dollars</t>
  </si>
  <si>
    <t>Stable if June ending A/R is &lt; 10% of January; otherwise improving or worsening</t>
  </si>
  <si>
    <t>June ending A/R is only modestly above January</t>
  </si>
  <si>
    <t>Reference_Workbook_1.xlsx ; Monthly_Financials: Ending A/R Jan and Jun; formula in KPI Calculations B46.</t>
  </si>
  <si>
    <t>Worsening only if Q2 average Days in A/R is &gt;10% above Q1 average</t>
  </si>
  <si>
    <t>Q2 average is below Q1 average</t>
  </si>
  <si>
    <t>KPI Calculations monthly Days in A/R table; Days use rolling 90-day gross charges from Reference_Workbook_1.xlsx ; Monthly_Financials.</t>
  </si>
  <si>
    <t>Significant if six-month dollar denial rate &gt;5.0%</t>
  </si>
  <si>
    <t>Six-month denial rate exceeds significance threshold</t>
  </si>
  <si>
    <t>A/R over 90 days</t>
  </si>
  <si>
    <t>Within benchmark if &lt;15.0%</t>
  </si>
  <si>
    <t>Every month is above the &lt;15.0% A/R aging benchmark; there are no benchmark-compliant months.</t>
  </si>
  <si>
    <t>Reference_Workbook_1.xlsx ; AR_Aging: each month’s Over 90 Days A/R / Total A/R; Reference_Workbook_2.xlsx ; Benchmarks: &lt;15.0% target.</t>
  </si>
  <si>
    <t>Payer Mix, Fee Schedule Change, and Expected Collection Performance</t>
  </si>
  <si>
    <t>Blended expected collection rate is recomputed from the pre- and post-change fee schedules effective March 01, 2026; source cross-references are included for each referenced value.</t>
  </si>
  <si>
    <t>Payer mix and fee schedule source table</t>
  </si>
  <si>
    <t>Payer Type</t>
  </si>
  <si>
    <t>Payer Mix Share</t>
  </si>
  <si>
    <t>Baseline Estimated Collection Rate</t>
  </si>
  <si>
    <t>Pre-Change Expected Rate</t>
  </si>
  <si>
    <t>Post-Change Expected Rate</t>
  </si>
  <si>
    <t>Pre-Change Gross Charges</t>
  </si>
  <si>
    <t>Post-Change Gross Charges</t>
  </si>
  <si>
    <t>Effective Date</t>
  </si>
  <si>
    <t>Blended Expected Rate</t>
  </si>
  <si>
    <t>Weighted Blended Contribution</t>
  </si>
  <si>
    <t>Operational Consideration</t>
  </si>
  <si>
    <t>Medicare</t>
  </si>
  <si>
    <t>High volume payer with relatively predictable payment rules and documentation requirements.</t>
  </si>
  <si>
    <t>Reference_Workbook_2.xlsx ; Payer_Mix: Payer Type and Payer Mix Share; Reference_Workbook_2.xlsx ; Fee_Schedule: Baseline, Pre-Change, Post-Change expected collection rates, pre/post charge weights, and March 01, 2026 effective date.</t>
  </si>
  <si>
    <t>Commercial Insurance</t>
  </si>
  <si>
    <t>Highest expected collection rate, but prior authorization and eligibility issues can delay payment.</t>
  </si>
  <si>
    <t>Medicaid</t>
  </si>
  <si>
    <t>Lower collection rate and higher administrative follow-up burden.</t>
  </si>
  <si>
    <t>Self-Pay</t>
  </si>
  <si>
    <t>Lowest collection rate; patient statements, payment plans, and point-of-service collections are important.</t>
  </si>
  <si>
    <t>Expected collection summary</t>
  </si>
  <si>
    <t>Source / logic</t>
  </si>
  <si>
    <t>Pre-change weighted expected collection rate</t>
  </si>
  <si>
    <t>Expected rate using pre-change payer fee schedules</t>
  </si>
  <si>
    <t>Reference_Workbook_2.xlsx ; Fee_Schedule: pre-change payer rates weighted by Payer_Mix shares.</t>
  </si>
  <si>
    <t>Post-change weighted expected collection rate</t>
  </si>
  <si>
    <t>Expected rate using post-change payer fee schedules</t>
  </si>
  <si>
    <t>Reference_Workbook_2.xlsx ; Fee_Schedule: post-change payer rates weighted by Payer_Mix shares.</t>
  </si>
  <si>
    <t>Six-month weighted blended expected collection rate</t>
  </si>
  <si>
    <t>Blended rate for Questions 1 and 4</t>
  </si>
  <si>
    <t>Formula: SUMPRODUCT of payer mix share and blended pre/post fee-schedule rates; used in Questions 1 and 4.</t>
  </si>
  <si>
    <t>Net patient revenue denominator for expected collections</t>
  </si>
  <si>
    <t>Reference_Workbook_1.xlsx ; Monthly_Financials: Net Patient Revenue total from KPI Calculations.</t>
  </si>
  <si>
    <t>Expected collections at blended rate</t>
  </si>
  <si>
    <t>Payer-mix-adjusted expected cash collections</t>
  </si>
  <si>
    <t>Formula: Six-month net patient revenue x blended expected collection rate.</t>
  </si>
  <si>
    <t>Actual cash collections</t>
  </si>
  <si>
    <t>Observed six-month cash collections</t>
  </si>
  <si>
    <t>Reference_Workbook_1.xlsx ; Monthly_Financials: Cash Collections total from KPI Calculations.</t>
  </si>
  <si>
    <t>Cash shortfall vs blended expectation</t>
  </si>
  <si>
    <t>Positive value indicates under-collection versus expected</t>
  </si>
  <si>
    <t>Formula: Expected collections at blended rate less actual cash collections.</t>
  </si>
  <si>
    <t>Fee schedule change effect on expected rate</t>
  </si>
  <si>
    <t>Post-change minus pre-change weighted expected rate</t>
  </si>
  <si>
    <t>Formula: Post-change weighted expected rate less pre-change weighted expected rate.</t>
  </si>
  <si>
    <t>Medicare + Commercial normalized expected rate</t>
  </si>
  <si>
    <t>Higher-yield mix reference rate excluding Medicaid and Self-Pay</t>
  </si>
  <si>
    <t>Formula: Medicare + Commercial expected rate normalized to the combined 72.0% share.</t>
  </si>
  <si>
    <t>Expected-rate drag from Medicaid + Self-Pay mix</t>
  </si>
  <si>
    <t>How much lower the total expected rate is because 28% of mix is lower-yield</t>
  </si>
  <si>
    <t>Formula: normalized Medicare/Commercial expected rate less total blended expected rate; identifies Medicaid/Self-Pay drag.</t>
  </si>
  <si>
    <t>Monthly expected collections using applicable pre/post weighted rate</t>
  </si>
  <si>
    <t>Applicable Expected Rate</t>
  </si>
  <si>
    <t>Expected Collections</t>
  </si>
  <si>
    <t>Actual Collections</t>
  </si>
  <si>
    <t>Actual - Expected</t>
  </si>
  <si>
    <t>Imported Payment_Detail rows for payment tie and payer-mix support</t>
  </si>
  <si>
    <t>Monthly payment tie check</t>
  </si>
  <si>
    <t>Payment Month</t>
  </si>
  <si>
    <t>Payments Posted</t>
  </si>
  <si>
    <t>Source details</t>
  </si>
  <si>
    <t>Payment_Detail Total</t>
  </si>
  <si>
    <t>A/R Rollforward Payments</t>
  </si>
  <si>
    <t>Variance</t>
  </si>
  <si>
    <t>Reference_Workbook_2.xlsx ; Payment_Detail: Payment Month, Month End, Payer Type, Payments Posted.</t>
  </si>
  <si>
    <t>Reference_Workbook_2.xlsx ; Payment_Detail: monthly payment total; Reference_Workbook_1.xlsx ; AR_Rollforward: Payments Posted; variance must tie within $0.01.</t>
  </si>
  <si>
    <t>Total</t>
  </si>
  <si>
    <t>Findings, Answers to Questions, and Recommended Actions</t>
  </si>
  <si>
    <t>All conclusions are formula-linked to the KPI Calculations and Payer Mix tabs; source references identify source workbook, tab, and field.</t>
  </si>
  <si>
    <t>Executive summary</t>
  </si>
  <si>
    <t>Topic</t>
  </si>
  <si>
    <t>Conclusion</t>
  </si>
  <si>
    <t>Metric 1</t>
  </si>
  <si>
    <t>Value 1</t>
  </si>
  <si>
    <t>Metric 2</t>
  </si>
  <si>
    <t>Value 2</t>
  </si>
  <si>
    <t>Question 1</t>
  </si>
  <si>
    <t>No - the clinic is not effectively collecting net patient revenue: actual 82.7% net collection trails the 95.0% benchmark and the 89.9% payer-mix-adjusted expectation.</t>
  </si>
  <si>
    <t>Payer-mix-adjusted expected rate</t>
  </si>
  <si>
    <t>Question 2</t>
  </si>
  <si>
    <t>A/R dollars are stable and Days in A/R are improving, not worsening.</t>
  </si>
  <si>
    <t>A/R trend</t>
  </si>
  <si>
    <t>Question 3</t>
  </si>
  <si>
    <t>Denials are a significant problem, and A/R &gt;90 days is outside benchmark in every month.</t>
  </si>
  <si>
    <t>Dollar denial rate</t>
  </si>
  <si>
    <t>June % A/R &gt;90</t>
  </si>
  <si>
    <t>Question 4</t>
  </si>
  <si>
    <t>Commercial is the highest-yield payer; Medicaid and Self-Pay reduce expected collections; actual performance trails the blended expectation by 7.2 percentage points.</t>
  </si>
  <si>
    <t>Blended expected rate</t>
  </si>
  <si>
    <t>Actual below blended expected</t>
  </si>
  <si>
    <t>Bad debt benchmark</t>
  </si>
  <si>
    <t>Bad debt write-off is 2.97% and within the &lt;3.0% benchmark. Note that 2.97% is not rounded to 1 decimal place, for comparison with the benchmark.</t>
  </si>
  <si>
    <t>Benchmark</t>
  </si>
  <si>
    <t>Detailed answers to the required questions</t>
  </si>
  <si>
    <t>Question</t>
  </si>
  <si>
    <t>Concise answer</t>
  </si>
  <si>
    <t>Supporting metric</t>
  </si>
  <si>
    <t>Source / rationale</t>
  </si>
  <si>
    <t>Additional note</t>
  </si>
  <si>
    <t>1. Is the clinic effectively collecting net patient revenue?</t>
  </si>
  <si>
    <t>No. Actual net collection is 82.7%, below the 95.0% benchmark and below the 89.9% payer-mix-adjusted expectation; the cash shortfall is $222,997.11.</t>
  </si>
  <si>
    <t>Net collection rate / expected rate</t>
  </si>
  <si>
    <t>95.0% benchmark and payer-mix-adjusted expected rate</t>
  </si>
  <si>
    <t>Reference_Workbook_1.xlsx ; Monthly_Financials: Cash Collections and Net Patient Revenue; Reference_Workbook_2.xlsx ; Benchmarks: 95.0% net collection benchmark; Reference_Workbook_2.xlsx ; Payer_Mix/Fee_Schedule: blended expected rate.</t>
  </si>
  <si>
    <t>2. Are A/R and Days in A/R improving, worsening, or stable?</t>
  </si>
  <si>
    <t>Ending A/R dollars are stable (+2.2% from January to June), while Days in A/R are improving because Q2 average Days in A/R is below Q1.</t>
  </si>
  <si>
    <t>A/R trend / Days in A/R trend</t>
  </si>
  <si>
    <t>Worsening only if Days in A/R increases &gt;10% period-over-period</t>
  </si>
  <si>
    <t>Reference_Workbook_1.xlsx ; Monthly_Financials: Ending A/R and Gross Charges; KPI Calculations: rolling 90-day Days in A/R by month; workbook rule: worsening only if Q2 average increases by more than 10%.</t>
  </si>
  <si>
    <t>3. Are denials significant and is A/R &gt;90 days within benchmark?</t>
  </si>
  <si>
    <t>Yes, denials are significant because the dollar denial rate is 6.2%; no, A/R &gt;90 days is not within benchmark because all months exceed the &lt;15.0% benchmark.</t>
  </si>
  <si>
    <t>Dollar denial rate / June % A/R &gt;90</t>
  </si>
  <si>
    <t>Denials significant if &gt;5.0%; A/R &gt;90 should be &lt;15.0%</t>
  </si>
  <si>
    <t>4. How does payer mix affect expected collection performance?</t>
  </si>
  <si>
    <t>Commercial is the highest-yield payer; Medicaid and Self-Pay reduce the blended expected rate; actual performance trails the blended expected collection rate by 7.2 percentage points.</t>
  </si>
  <si>
    <t>Blended expected rate / mix drag</t>
  </si>
  <si>
    <t>Blended pre/post fee-schedule rate and actual-to-expected gap</t>
  </si>
  <si>
    <t>Below blended expectation</t>
  </si>
  <si>
    <t>Reference_Workbook_2.xlsx ; Payer_Mix: payer shares; Reference_Workbook_2.xlsx ; Fee_Schedule: pre/post expected rates and charge weights; Reference_Workbook_1.xlsx ; Monthly_Financials: cash collections and net patient revenue.</t>
  </si>
  <si>
    <t>5. Which three revenue cycle improvements should leadership prioritize?</t>
  </si>
  <si>
    <t>Leadership should prioritize: 1) front-end eligibility/authorization denial prevention, 2) active denial recovery, and 3) aged-A/R workdown.</t>
  </si>
  <si>
    <t>Estimated recoverable denials</t>
  </si>
  <si>
    <t>Priorities should target the largest cash leakage and oldest balances first</t>
  </si>
  <si>
    <t>Priority list provided below</t>
  </si>
  <si>
    <t>6. Two process improvements to improve cash flow; which is highest-impact and easiest?</t>
  </si>
  <si>
    <t>Recommend daily pre-bill/front-end verification and a weekly denial-and-aged-A/R cash acceleration work queue; the weekly work queue has the greatest cash-flow impact with the easiest implementation.</t>
  </si>
  <si>
    <t>Cash shortfall vs expected</t>
  </si>
  <si>
    <t>Choose the recommendation with the greatest immediate cash conversion and lowest implementation friction</t>
  </si>
  <si>
    <t>Best action highlighted below</t>
  </si>
  <si>
    <t>Bad debt write-off benchmark</t>
  </si>
  <si>
    <t>Six-month bad debt write-off rate is 2.97% ($92,000.00 / $3,100,000.00) and is within the &lt;3.0% benchmark. Note that 2.97% is not rounded to 1 decimal place, for comparison to the benchmark.</t>
  </si>
  <si>
    <t>&lt;3.0% benchmark</t>
  </si>
  <si>
    <t>Reference_Workbook_1.xlsx ; Monthly_Financials: Bad Debt Write-Offs and Net Patient Revenue; Reference_Workbook_2.xlsx ; Benchmarks: bad debt threshold.</t>
  </si>
  <si>
    <t>Priority revenue cycle improvements for leadership</t>
  </si>
  <si>
    <t>Priority</t>
  </si>
  <si>
    <t>Improvement</t>
  </si>
  <si>
    <t>Why it should be prioritized now</t>
  </si>
  <si>
    <t>Key metric / source support</t>
  </si>
  <si>
    <t>Expected impact on revenue cycle</t>
  </si>
  <si>
    <t>Implementation note</t>
  </si>
  <si>
    <t>Front-end eligibility/authorization denial prevention</t>
  </si>
  <si>
    <t>Eligibility, registration, and prior authorization issues are recurring denial drivers and can be prevented before claim submission.</t>
  </si>
  <si>
    <t>Raises clean-claim performance and prevents avoidable rework before balances age.</t>
  </si>
  <si>
    <t>Use daily pre-bill verification, authorization exceptions, registration audit checklist, and targeted retraining.</t>
  </si>
  <si>
    <t>Active denial recovery</t>
  </si>
  <si>
    <t>Dollar denial rate is 6.2%, above the 5.0% significance threshold, with $190,800.00 in estimated recoverable denials.</t>
  </si>
  <si>
    <t>Accelerates recovery of already-denied claims and reduces write-offs.</t>
  </si>
  <si>
    <t>Create a weekly denial recovery queue by denial reason with owner, appeal due date, and 48-hour follow-up cadence.</t>
  </si>
  <si>
    <t>Aged-A/R workdown</t>
  </si>
  <si>
    <t>A/R over 90 days rises from 16.7% to 21.7% and exceeds the &lt;15.0% benchmark every month.</t>
  </si>
  <si>
    <t>Reference_Workbook_1.xlsx ; AR_Aging: Over 90 Days A/R and Total A/R; Reference_Workbook_2.xlsx ; Benchmarks: &lt;15.0%</t>
  </si>
  <si>
    <t>Improves cash conversion from older balances and reduces future bad debt.</t>
  </si>
  <si>
    <t>Segment by payer and age bucket; require weekly escalations on balances over 90 days.</t>
  </si>
  <si>
    <t>Two revenue cycle management process improvements to improve cash flow</t>
  </si>
  <si>
    <t>Why it helps cash flow</t>
  </si>
  <si>
    <t>Estimated cash opportunity referenced</t>
  </si>
  <si>
    <t>Ease of implementation</t>
  </si>
  <si>
    <t>Likely time to cash impact</t>
  </si>
  <si>
    <t>Best balance of impact and ease?</t>
  </si>
  <si>
    <t>Reason</t>
  </si>
  <si>
    <t>Weekly denial-and-aged-A/R cash acceleration work queue</t>
  </si>
  <si>
    <t>Targets significant denied dollars and the oldest receivables immediately using existing denial and A/R worklists.</t>
  </si>
  <si>
    <t>High</t>
  </si>
  <si>
    <t>Immediate to 60 days</t>
  </si>
  <si>
    <t>Yes</t>
  </si>
  <si>
    <t>Best balance of cash impact and ease because $190,800.00 in recoverable denials plus $200,000.00 June over-90 A/R can be worked with workflow discipline, not new technology.</t>
  </si>
  <si>
    <t>Daily pre-bill/front-end verification and authorization exception management</t>
  </si>
  <si>
    <t>Prevents avoidable front-end denials before claim submission and improves clean-claim yield before balances age.</t>
  </si>
  <si>
    <t>Moderate to high</t>
  </si>
  <si>
    <t>30 to 90 days</t>
  </si>
  <si>
    <t>No</t>
  </si>
  <si>
    <t>Important and should start immediately, but prevention benefits usually appear after adoption; the weekly work queue produces faster cash conversion.</t>
  </si>
  <si>
    <t>Reference_Workbook_1.xlsx ; Monthly_Financials: Month, Month End, Gross Charges, Contractual Adjustments, Net Patient Revenue, Cash Collections, Ending A/R, Bad Debt Write-Offs; Reference_Workbook_2.xlsx ; Denial_Detail: Denied Claims ($), Submitted Claims Count, Denied Claims Count, Likely Recoverable %, Primary Denial Driver; Reference_Workbook_1.xlsx ; AR_Aging: Over 90 Days A/R, Total A/R Aging; Reference_Workbook_1.xlsx ; AR_Rollforward: Payments Posted; Reference_Workbook_2.xlsx ; Payment_Detail: Payment Month, Payer Type, Payments Posted.</t>
  </si>
  <si>
    <t>Reference_Workbook_2.xlsx ; Denial_Detail: $190,800 recoverable denials and $62,000 above-threshold denied dollars; Reference_Workbook_1.xlsx ; AR_Aging: $200,000 June over-90 A/R; Operational_Notes: workflow fixes can start without new technology.</t>
  </si>
  <si>
    <t>Reference_Workbook_2.xlsx ; Denial_Detail: denied dollars and denial counts; Reference_Workbook_1.xlsx ; AR_Aging: over-90 A/R and total A/R; Reference_Workbook_2.xlsx ; Benchmarks: 5.0% denial threshold and &lt;15.0% A/R &gt;90 target.</t>
  </si>
  <si>
    <t>Reference_Workbook_2.xlsx ; Denial_Detail: denial drivers and recoverable denials; Reference_Workbook_1.xlsx ; AR_Aging: over-90 balances; Reference_Workbook_2.xlsx ; Operational_Notes: billing vacancy and eligibility workflow transition.</t>
  </si>
  <si>
    <t>Reference_Workbook_2.xlsx ; Denial_Detail: primary denial drivers; Operational_Notes: April eligibility workflow change</t>
  </si>
  <si>
    <t>KPI Calculations: denied dollars, denial rate, recoverable denials; Reference_Workbook_2.xlsx ; Denial_Detail</t>
  </si>
  <si>
    <t>Reference_Workbook_2.xlsx ; Denial_Detail: Denied Claims ($); formula divides total denied dollars by total gross charges.</t>
  </si>
  <si>
    <t>Reference_Workbook_2.xlsx ; Denial_Detail: denied dollars and likely recoverable percentage; formula uses 60.0% recovery assumption.</t>
  </si>
  <si>
    <t>Reference_Workbook_2.xlsx ; Denial_Detail: submitted claims and denied claims; formula is 1 - denied / submitted.</t>
  </si>
  <si>
    <t>Formula-linked to KPI Calculations monthly source data. Original fields: Reference_Workbook_1.xlsx ; Monthly_Financials: charges, net revenue, cash collections, ending A/R; Reference_Workbook_2.xlsx ; Denial_Detail: denied dollars/counts and primary driver; Reference_Workbook_1.xlsx ; AR_Aging: over-90 A/R and total A/R; Reference_Workbook_2.xlsx ; Payer_Mix/Fee_Schedule: applicable expected rate.</t>
  </si>
  <si>
    <t>Reference_Workbook_2.xlsx ; Denial_Detail: denied dollars; Reference_Workbook_2.xlsx ; Benchmarks: 5.0%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</si>
</sst>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&quot; &quot;d&quot;, &quot;yyyy"/>
    <numFmt numFmtId="165" formatCode="&quot;$&quot;#,##0.00"/>
    <numFmt numFmtId="166" formatCode="0.0%"/>
  </numFmts>
  <fonts count="2" x14ac:knownFonts="1"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88">
    <xf numFmtId="0" fontId="0" fillId="0" borderId="0" xfId="0"/>
    <xf numFmtId="0" fontId="0" fillId="0" borderId="0" xfId="0" applyNumberFormat="1"/>
    <xf numFmtId="1" fontId="1" fillId="2" borderId="2" xfId="0" applyNumberFormat="1" applyFont="1" applyFill="1" applyBorder="1" applyAlignment="1">
      <alignment horizontal="left" vertical="top" wrapText="1"/>
    </xf>
    <xf numFmtId="1" fontId="1" fillId="2" borderId="3" xfId="0" applyNumberFormat="1" applyFont="1" applyFill="1" applyBorder="1" applyAlignment="1">
      <alignment horizontal="left" vertical="top" wrapText="1"/>
    </xf>
    <xf numFmtId="1" fontId="0" fillId="2" borderId="5" xfId="0" applyNumberFormat="1" applyFill="1" applyBorder="1" applyAlignment="1">
      <alignment horizontal="left" vertical="top" wrapText="1"/>
    </xf>
    <xf numFmtId="1" fontId="0" fillId="2" borderId="6" xfId="0" applyNumberFormat="1" applyFill="1" applyBorder="1" applyAlignment="1">
      <alignment horizontal="left" vertical="top" wrapText="1"/>
    </xf>
    <xf numFmtId="1" fontId="0" fillId="2" borderId="7" xfId="0" applyNumberFormat="1" applyFill="1" applyBorder="1" applyAlignment="1">
      <alignment vertical="top" wrapText="1"/>
    </xf>
    <xf numFmtId="1" fontId="0" fillId="2" borderId="8" xfId="0" applyNumberFormat="1" applyFill="1" applyBorder="1" applyAlignment="1">
      <alignment vertical="top" wrapText="1"/>
    </xf>
    <xf numFmtId="1" fontId="0" fillId="2" borderId="5" xfId="0" applyNumberFormat="1" applyFill="1" applyBorder="1" applyAlignment="1">
      <alignment vertical="top" wrapText="1"/>
    </xf>
    <xf numFmtId="1" fontId="0" fillId="2" borderId="6" xfId="0" applyNumberFormat="1" applyFill="1" applyBorder="1" applyAlignment="1">
      <alignment vertical="top" wrapText="1"/>
    </xf>
    <xf numFmtId="49" fontId="1" fillId="2" borderId="9" xfId="0" applyNumberFormat="1" applyFont="1" applyFill="1" applyBorder="1" applyAlignment="1">
      <alignment horizontal="center" vertical="top" wrapText="1"/>
    </xf>
    <xf numFmtId="1" fontId="1" fillId="2" borderId="9" xfId="0" applyNumberFormat="1" applyFont="1" applyFill="1" applyBorder="1" applyAlignment="1">
      <alignment horizontal="center" vertical="top" wrapText="1"/>
    </xf>
    <xf numFmtId="1" fontId="0" fillId="2" borderId="10" xfId="0" applyNumberFormat="1" applyFill="1" applyBorder="1" applyAlignment="1">
      <alignment vertical="top" wrapText="1"/>
    </xf>
    <xf numFmtId="49" fontId="1" fillId="2" borderId="9" xfId="0" applyNumberFormat="1" applyFont="1" applyFill="1" applyBorder="1" applyAlignment="1">
      <alignment horizontal="left" vertical="top" wrapText="1"/>
    </xf>
    <xf numFmtId="49" fontId="0" fillId="2" borderId="9" xfId="0" applyNumberFormat="1" applyFill="1" applyBorder="1" applyAlignment="1">
      <alignment horizontal="left" vertical="top" wrapText="1"/>
    </xf>
    <xf numFmtId="49" fontId="0" fillId="2" borderId="9" xfId="0" applyNumberFormat="1" applyFill="1" applyBorder="1" applyAlignment="1">
      <alignment horizontal="center" vertical="top" wrapText="1"/>
    </xf>
    <xf numFmtId="1" fontId="0" fillId="2" borderId="11" xfId="0" applyNumberFormat="1" applyFill="1" applyBorder="1" applyAlignment="1">
      <alignment vertical="top" wrapText="1"/>
    </xf>
    <xf numFmtId="1" fontId="0" fillId="2" borderId="12" xfId="0" applyNumberFormat="1" applyFill="1" applyBorder="1" applyAlignment="1">
      <alignment vertical="top" wrapText="1"/>
    </xf>
    <xf numFmtId="1" fontId="0" fillId="2" borderId="13" xfId="0" applyNumberFormat="1" applyFill="1" applyBorder="1" applyAlignment="1">
      <alignment vertical="top" wrapText="1"/>
    </xf>
    <xf numFmtId="164" fontId="0" fillId="2" borderId="9" xfId="0" applyNumberFormat="1" applyFill="1" applyBorder="1" applyAlignment="1">
      <alignment horizontal="center" vertical="top" wrapText="1"/>
    </xf>
    <xf numFmtId="165" fontId="0" fillId="2" borderId="9" xfId="0" applyNumberFormat="1" applyFill="1" applyBorder="1" applyAlignment="1">
      <alignment horizontal="center" vertical="top" wrapText="1"/>
    </xf>
    <xf numFmtId="1" fontId="0" fillId="2" borderId="9" xfId="0" applyNumberFormat="1" applyFill="1" applyBorder="1" applyAlignment="1">
      <alignment horizontal="center" vertical="top" wrapText="1"/>
    </xf>
    <xf numFmtId="166" fontId="0" fillId="2" borderId="9" xfId="0" applyNumberFormat="1" applyFill="1" applyBorder="1" applyAlignment="1">
      <alignment horizontal="center" vertical="top" wrapText="1"/>
    </xf>
    <xf numFmtId="1" fontId="0" fillId="2" borderId="14" xfId="0" applyNumberFormat="1" applyFill="1" applyBorder="1" applyAlignment="1">
      <alignment vertical="top" wrapText="1"/>
    </xf>
    <xf numFmtId="1" fontId="0" fillId="2" borderId="15" xfId="0" applyNumberFormat="1" applyFill="1" applyBorder="1" applyAlignment="1">
      <alignment vertical="top" wrapText="1"/>
    </xf>
    <xf numFmtId="1" fontId="0" fillId="2" borderId="16" xfId="0" applyNumberFormat="1" applyFill="1" applyBorder="1" applyAlignment="1">
      <alignment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left" vertical="top" wrapText="1"/>
    </xf>
    <xf numFmtId="1" fontId="0" fillId="2" borderId="9" xfId="0" applyNumberFormat="1" applyFill="1" applyBorder="1" applyAlignment="1">
      <alignment horizontal="left" vertical="top" wrapText="1"/>
    </xf>
    <xf numFmtId="0" fontId="0" fillId="2" borderId="20" xfId="0" applyFill="1" applyBorder="1"/>
    <xf numFmtId="1" fontId="0" fillId="2" borderId="21" xfId="0" applyNumberFormat="1" applyFill="1" applyBorder="1" applyAlignment="1">
      <alignment vertical="top" wrapText="1"/>
    </xf>
    <xf numFmtId="1" fontId="0" fillId="2" borderId="22" xfId="0" applyNumberFormat="1" applyFill="1" applyBorder="1" applyAlignment="1">
      <alignment vertical="top" wrapText="1"/>
    </xf>
    <xf numFmtId="49" fontId="1" fillId="2" borderId="23" xfId="0" applyNumberFormat="1" applyFont="1" applyFill="1" applyBorder="1" applyAlignment="1">
      <alignment horizontal="center" vertical="top" wrapText="1"/>
    </xf>
    <xf numFmtId="1" fontId="1" fillId="2" borderId="24" xfId="0" applyNumberFormat="1" applyFont="1" applyFill="1" applyBorder="1" applyAlignment="1">
      <alignment vertical="top" wrapText="1"/>
    </xf>
    <xf numFmtId="1" fontId="1" fillId="2" borderId="25" xfId="0" applyNumberFormat="1" applyFont="1" applyFill="1" applyBorder="1" applyAlignment="1">
      <alignment vertical="top" wrapText="1"/>
    </xf>
    <xf numFmtId="1" fontId="1" fillId="2" borderId="6" xfId="0" applyNumberFormat="1" applyFont="1" applyFill="1" applyBorder="1" applyAlignment="1">
      <alignment vertical="top" wrapText="1"/>
    </xf>
    <xf numFmtId="0" fontId="1" fillId="2" borderId="26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vertical="top" wrapText="1"/>
    </xf>
    <xf numFmtId="1" fontId="0" fillId="2" borderId="27" xfId="0" applyNumberFormat="1" applyFill="1" applyBorder="1" applyAlignment="1">
      <alignment vertical="top" wrapText="1"/>
    </xf>
    <xf numFmtId="1" fontId="0" fillId="2" borderId="28" xfId="0" applyNumberFormat="1" applyFill="1" applyBorder="1" applyAlignment="1">
      <alignment vertical="top" wrapText="1"/>
    </xf>
    <xf numFmtId="1" fontId="1" fillId="2" borderId="29" xfId="0" applyNumberFormat="1" applyFont="1" applyFill="1" applyBorder="1" applyAlignment="1">
      <alignment vertical="top" wrapText="1"/>
    </xf>
    <xf numFmtId="49" fontId="1" fillId="2" borderId="29" xfId="0" applyNumberFormat="1" applyFont="1" applyFill="1" applyBorder="1" applyAlignment="1">
      <alignment vertical="top" wrapText="1"/>
    </xf>
    <xf numFmtId="49" fontId="0" fillId="2" borderId="29" xfId="0" applyNumberFormat="1" applyFill="1" applyBorder="1" applyAlignment="1">
      <alignment vertical="top" wrapText="1"/>
    </xf>
    <xf numFmtId="1" fontId="1" fillId="2" borderId="10" xfId="0" applyNumberFormat="1" applyFont="1" applyFill="1" applyBorder="1" applyAlignment="1">
      <alignment vertical="top" wrapText="1"/>
    </xf>
    <xf numFmtId="49" fontId="1" fillId="2" borderId="10" xfId="0" applyNumberFormat="1" applyFont="1" applyFill="1" applyBorder="1" applyAlignment="1">
      <alignment vertical="top" wrapText="1"/>
    </xf>
    <xf numFmtId="49" fontId="0" fillId="2" borderId="10" xfId="0" applyNumberFormat="1" applyFill="1" applyBorder="1" applyAlignment="1">
      <alignment vertical="top" wrapText="1"/>
    </xf>
    <xf numFmtId="49" fontId="0" fillId="2" borderId="30" xfId="0" applyNumberFormat="1" applyFill="1" applyBorder="1" applyAlignment="1">
      <alignment vertical="top" wrapText="1"/>
    </xf>
    <xf numFmtId="1" fontId="0" fillId="2" borderId="31" xfId="0" applyNumberFormat="1" applyFill="1" applyBorder="1" applyAlignment="1">
      <alignment vertical="top" wrapText="1"/>
    </xf>
    <xf numFmtId="1" fontId="0" fillId="2" borderId="32" xfId="0" applyNumberFormat="1" applyFill="1" applyBorder="1" applyAlignment="1">
      <alignment vertical="top" wrapText="1"/>
    </xf>
    <xf numFmtId="1" fontId="0" fillId="2" borderId="33" xfId="0" applyNumberFormat="1" applyFill="1" applyBorder="1" applyAlignment="1">
      <alignment vertical="top" wrapText="1"/>
    </xf>
    <xf numFmtId="1" fontId="1" fillId="2" borderId="34" xfId="0" applyNumberFormat="1" applyFont="1" applyFill="1" applyBorder="1" applyAlignment="1">
      <alignment vertical="top" wrapText="1"/>
    </xf>
    <xf numFmtId="1" fontId="1" fillId="2" borderId="35" xfId="0" applyNumberFormat="1" applyFont="1" applyFill="1" applyBorder="1" applyAlignment="1">
      <alignment vertical="top" wrapText="1"/>
    </xf>
    <xf numFmtId="1" fontId="0" fillId="2" borderId="35" xfId="0" applyNumberFormat="1" applyFill="1" applyBorder="1" applyAlignment="1">
      <alignment vertical="top" wrapText="1"/>
    </xf>
    <xf numFmtId="165" fontId="1" fillId="2" borderId="9" xfId="0" applyNumberFormat="1" applyFont="1" applyFill="1" applyBorder="1" applyAlignment="1">
      <alignment horizontal="center" vertical="top" wrapText="1"/>
    </xf>
    <xf numFmtId="1" fontId="0" fillId="2" borderId="36" xfId="0" applyNumberFormat="1" applyFill="1" applyBorder="1" applyAlignment="1">
      <alignment vertical="top" wrapText="1"/>
    </xf>
    <xf numFmtId="1" fontId="0" fillId="2" borderId="37" xfId="0" applyNumberFormat="1" applyFill="1" applyBorder="1" applyAlignment="1">
      <alignment vertical="top" wrapText="1"/>
    </xf>
    <xf numFmtId="1" fontId="0" fillId="2" borderId="7" xfId="0" applyNumberFormat="1" applyFill="1" applyBorder="1" applyAlignment="1">
      <alignment horizontal="left" vertical="top" wrapText="1"/>
    </xf>
    <xf numFmtId="1" fontId="0" fillId="2" borderId="8" xfId="0" applyNumberFormat="1" applyFill="1" applyBorder="1" applyAlignment="1">
      <alignment horizontal="left" vertical="top" wrapText="1"/>
    </xf>
    <xf numFmtId="1" fontId="1" fillId="2" borderId="9" xfId="0" applyNumberFormat="1" applyFont="1" applyFill="1" applyBorder="1" applyAlignment="1">
      <alignment horizontal="left" vertical="top" wrapText="1"/>
    </xf>
    <xf numFmtId="1" fontId="0" fillId="2" borderId="10" xfId="0" applyNumberFormat="1" applyFill="1" applyBorder="1" applyAlignment="1">
      <alignment horizontal="left" vertical="top" wrapText="1"/>
    </xf>
    <xf numFmtId="166" fontId="0" fillId="2" borderId="9" xfId="0" applyNumberFormat="1" applyFill="1" applyBorder="1" applyAlignment="1">
      <alignment horizontal="left" vertical="top" wrapText="1"/>
    </xf>
    <xf numFmtId="49" fontId="0" fillId="2" borderId="14" xfId="0" applyNumberFormat="1" applyFill="1" applyBorder="1" applyAlignment="1">
      <alignment horizontal="left" vertical="top" wrapText="1"/>
    </xf>
    <xf numFmtId="49" fontId="0" fillId="2" borderId="15" xfId="0" applyNumberFormat="1" applyFill="1" applyBorder="1" applyAlignment="1">
      <alignment horizontal="left" vertical="top" wrapText="1"/>
    </xf>
    <xf numFmtId="1" fontId="0" fillId="2" borderId="13" xfId="0" applyNumberFormat="1" applyFill="1" applyBorder="1" applyAlignment="1">
      <alignment horizontal="left" vertical="top" wrapText="1"/>
    </xf>
    <xf numFmtId="165" fontId="0" fillId="2" borderId="9" xfId="0" applyNumberFormat="1" applyFill="1" applyBorder="1" applyAlignment="1">
      <alignment horizontal="left" vertical="top" wrapText="1"/>
    </xf>
    <xf numFmtId="1" fontId="0" fillId="2" borderId="16" xfId="0" applyNumberFormat="1" applyFill="1" applyBorder="1" applyAlignment="1">
      <alignment horizontal="left" vertical="top" wrapText="1"/>
    </xf>
    <xf numFmtId="1" fontId="1" fillId="2" borderId="10" xfId="0" applyNumberFormat="1" applyFont="1" applyFill="1" applyBorder="1" applyAlignment="1">
      <alignment horizontal="left" vertical="top" wrapText="1"/>
    </xf>
    <xf numFmtId="1" fontId="1" fillId="2" borderId="6" xfId="0" applyNumberFormat="1" applyFont="1" applyFill="1" applyBorder="1" applyAlignment="1">
      <alignment horizontal="left" vertical="top" wrapText="1"/>
    </xf>
    <xf numFmtId="1" fontId="0" fillId="2" borderId="14" xfId="0" applyNumberFormat="1" applyFill="1" applyBorder="1" applyAlignment="1">
      <alignment horizontal="left" vertical="top" wrapText="1"/>
    </xf>
    <xf numFmtId="1" fontId="0" fillId="2" borderId="15" xfId="0" applyNumberFormat="1" applyFill="1" applyBorder="1" applyAlignment="1">
      <alignment horizontal="left" vertical="top" wrapText="1"/>
    </xf>
    <xf numFmtId="1" fontId="1" fillId="2" borderId="29" xfId="0" applyNumberFormat="1" applyFont="1" applyFill="1" applyBorder="1" applyAlignment="1">
      <alignment horizontal="left" vertical="top" wrapText="1"/>
    </xf>
    <xf numFmtId="1" fontId="0" fillId="2" borderId="29" xfId="0" applyNumberFormat="1" applyFill="1" applyBorder="1" applyAlignment="1">
      <alignment horizontal="left" vertical="top" wrapText="1"/>
    </xf>
    <xf numFmtId="1" fontId="0" fillId="2" borderId="4" xfId="0" applyNumberFormat="1" applyFill="1" applyBorder="1" applyAlignment="1">
      <alignment horizontal="left" vertical="top" wrapText="1"/>
    </xf>
    <xf numFmtId="1" fontId="0" fillId="2" borderId="38" xfId="0" applyNumberFormat="1" applyFill="1" applyBorder="1" applyAlignment="1">
      <alignment horizontal="left" vertical="top" wrapText="1"/>
    </xf>
    <xf numFmtId="1" fontId="0" fillId="2" borderId="31" xfId="0" applyNumberFormat="1" applyFill="1" applyBorder="1" applyAlignment="1">
      <alignment horizontal="left" vertical="top" wrapText="1"/>
    </xf>
    <xf numFmtId="1" fontId="0" fillId="2" borderId="32" xfId="0" applyNumberFormat="1" applyFill="1" applyBorder="1" applyAlignment="1">
      <alignment horizontal="left" vertical="top" wrapText="1"/>
    </xf>
    <xf numFmtId="166" fontId="0" fillId="2" borderId="15" xfId="0" applyNumberForma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1" fontId="1" fillId="2" borderId="2" xfId="0" applyNumberFormat="1" applyFont="1" applyFill="1" applyBorder="1" applyAlignment="1">
      <alignment horizontal="left" vertical="top" wrapText="1"/>
    </xf>
    <xf numFmtId="1" fontId="1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ill="1" applyBorder="1" applyAlignment="1">
      <alignment horizontal="left" vertical="top" wrapText="1"/>
    </xf>
    <xf numFmtId="1" fontId="0" fillId="2" borderId="5" xfId="0" applyNumberFormat="1" applyFill="1" applyBorder="1" applyAlignment="1">
      <alignment horizontal="left" vertical="top" wrapText="1"/>
    </xf>
    <xf numFmtId="1" fontId="0" fillId="2" borderId="6" xfId="0" applyNumberFormat="1" applyFill="1" applyBorder="1" applyAlignment="1">
      <alignment horizontal="left" vertical="top" wrapText="1"/>
    </xf>
    <xf numFmtId="49" fontId="0" fillId="2" borderId="9" xfId="0" applyNumberFormat="1" applyFill="1" applyBorder="1" applyAlignment="1">
      <alignment horizontal="left" vertical="top" wrapText="1"/>
    </xf>
    <xf numFmtId="1" fontId="0" fillId="2" borderId="9" xfId="0" applyNumberFormat="1" applyFill="1" applyBorder="1" applyAlignment="1">
      <alignment horizontal="left" vertical="top" wrapText="1"/>
    </xf>
    <xf numFmtId="1" fontId="0" fillId="2" borderId="17" xfId="0" applyNumberFormat="1" applyFill="1" applyBorder="1" applyAlignment="1">
      <alignment horizontal="left" vertical="top" wrapText="1"/>
    </xf>
    <xf numFmtId="1" fontId="0" fillId="2" borderId="18" xfId="0" applyNumberFormat="1" applyFill="1" applyBorder="1" applyAlignment="1">
      <alignment horizontal="left" vertical="center" wrapText="1"/>
    </xf>
    <xf numFmtId="1" fontId="0" fillId="2" borderId="19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showGridLines="0" tabSelected="1" topLeftCell="A58" workbookViewId="0">
      <selection activeCell="E66" sqref="E66"/>
    </sheetView>
  </sheetViews>
  <sheetFormatPr defaultColWidth="8.46484375" defaultRowHeight="15" customHeight="1" x14ac:dyDescent="0.35"/>
  <cols>
    <col min="1" max="1" width="16" style="1" customWidth="1"/>
    <col min="2" max="18" width="14" style="1" customWidth="1"/>
    <col min="19" max="19" width="26" style="1" customWidth="1"/>
    <col min="20" max="20" width="56" style="1" customWidth="1"/>
    <col min="21" max="21" width="8.46484375" style="1" customWidth="1"/>
    <col min="22" max="16384" width="8.46484375" style="1"/>
  </cols>
  <sheetData>
    <row r="1" spans="1:20" ht="24" customHeight="1" x14ac:dyDescent="0.3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ht="36" customHeight="1" x14ac:dyDescent="0.35">
      <c r="A2" s="80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2"/>
    </row>
    <row r="3" spans="1:20" ht="30" customHeight="1" x14ac:dyDescent="0.35">
      <c r="A3" s="6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0" ht="30" customHeight="1" x14ac:dyDescent="0.35">
      <c r="A4" s="10" t="s">
        <v>2</v>
      </c>
      <c r="B4" s="11"/>
      <c r="C4" s="11"/>
      <c r="D4" s="12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</row>
    <row r="5" spans="1:20" ht="30" customHeight="1" x14ac:dyDescent="0.35">
      <c r="A5" s="13" t="s">
        <v>3</v>
      </c>
      <c r="B5" s="13" t="s">
        <v>4</v>
      </c>
      <c r="C5" s="10" t="s">
        <v>5</v>
      </c>
      <c r="D5" s="12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</row>
    <row r="6" spans="1:20" ht="35.75" customHeight="1" x14ac:dyDescent="0.35">
      <c r="A6" s="14" t="s">
        <v>6</v>
      </c>
      <c r="B6" s="14" t="s">
        <v>7</v>
      </c>
      <c r="C6" s="15" t="s">
        <v>8</v>
      </c>
      <c r="D6" s="1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</row>
    <row r="7" spans="1:20" ht="35.75" customHeight="1" x14ac:dyDescent="0.35">
      <c r="A7" s="14" t="s">
        <v>9</v>
      </c>
      <c r="B7" s="14" t="s">
        <v>10</v>
      </c>
      <c r="C7" s="15" t="s">
        <v>11</v>
      </c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</row>
    <row r="8" spans="1:20" ht="46.7" customHeight="1" x14ac:dyDescent="0.35">
      <c r="A8" s="14" t="s">
        <v>12</v>
      </c>
      <c r="B8" s="14" t="s">
        <v>13</v>
      </c>
      <c r="C8" s="15" t="s">
        <v>14</v>
      </c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0" ht="35.75" customHeight="1" x14ac:dyDescent="0.35">
      <c r="A9" s="14" t="s">
        <v>15</v>
      </c>
      <c r="B9" s="14" t="s">
        <v>16</v>
      </c>
      <c r="C9" s="15" t="s">
        <v>17</v>
      </c>
      <c r="D9" s="12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</row>
    <row r="10" spans="1:20" ht="46.7" customHeight="1" x14ac:dyDescent="0.35">
      <c r="A10" s="14" t="s">
        <v>18</v>
      </c>
      <c r="B10" s="14" t="s">
        <v>19</v>
      </c>
      <c r="C10" s="15" t="s">
        <v>11</v>
      </c>
      <c r="D10" s="1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</row>
    <row r="11" spans="1:20" ht="35.75" customHeight="1" x14ac:dyDescent="0.35">
      <c r="A11" s="14" t="s">
        <v>20</v>
      </c>
      <c r="B11" s="14" t="s">
        <v>21</v>
      </c>
      <c r="C11" s="15" t="s">
        <v>22</v>
      </c>
      <c r="D11" s="1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</row>
    <row r="12" spans="1:20" ht="30" customHeight="1" x14ac:dyDescent="0.35">
      <c r="A12" s="16"/>
      <c r="B12" s="17"/>
      <c r="C12" s="1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8"/>
    </row>
    <row r="13" spans="1:20" ht="26.25" x14ac:dyDescent="0.35">
      <c r="A13" s="10" t="s">
        <v>23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39.4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0" t="s">
        <v>28</v>
      </c>
      <c r="F14" s="10" t="s">
        <v>29</v>
      </c>
      <c r="G14" s="10" t="s">
        <v>30</v>
      </c>
      <c r="H14" s="10" t="s">
        <v>31</v>
      </c>
      <c r="I14" s="10" t="s">
        <v>32</v>
      </c>
      <c r="J14" s="10" t="s">
        <v>33</v>
      </c>
      <c r="K14" s="10" t="s">
        <v>34</v>
      </c>
      <c r="L14" s="10" t="s">
        <v>35</v>
      </c>
      <c r="M14" s="10" t="s">
        <v>36</v>
      </c>
      <c r="N14" s="10" t="s">
        <v>37</v>
      </c>
      <c r="O14" s="10" t="s">
        <v>38</v>
      </c>
      <c r="P14" s="10" t="s">
        <v>39</v>
      </c>
      <c r="Q14" s="10" t="s">
        <v>40</v>
      </c>
      <c r="R14" s="10" t="s">
        <v>41</v>
      </c>
      <c r="S14" s="10" t="s">
        <v>42</v>
      </c>
      <c r="T14" s="10" t="s">
        <v>43</v>
      </c>
    </row>
    <row r="15" spans="1:20" ht="114.75" x14ac:dyDescent="0.35">
      <c r="A15" s="14" t="s">
        <v>44</v>
      </c>
      <c r="B15" s="19">
        <v>46053</v>
      </c>
      <c r="C15" s="20">
        <v>820000</v>
      </c>
      <c r="D15" s="20">
        <v>320000</v>
      </c>
      <c r="E15" s="20">
        <v>500000</v>
      </c>
      <c r="F15" s="20">
        <v>435000</v>
      </c>
      <c r="G15" s="20">
        <v>900000</v>
      </c>
      <c r="H15" s="20">
        <v>38000</v>
      </c>
      <c r="I15" s="20">
        <v>12000</v>
      </c>
      <c r="J15" s="21">
        <v>1820</v>
      </c>
      <c r="K15" s="21">
        <v>142</v>
      </c>
      <c r="L15" s="20">
        <v>150000</v>
      </c>
      <c r="M15" s="20">
        <v>900000</v>
      </c>
      <c r="N15" s="20">
        <v>435000</v>
      </c>
      <c r="O15" s="20" cm="1">
        <f t="array" ref="O15">SUMIF('Payer Mix'!$A$36:$A$59,A15,'Payer Mix'!$D$36:$D$59)</f>
        <v>435000</v>
      </c>
      <c r="P15" s="20" cm="1">
        <f t="array" ref="P15">N15-O15</f>
        <v>0</v>
      </c>
      <c r="Q15" s="22">
        <v>0.6</v>
      </c>
      <c r="R15" s="20">
        <v>22800</v>
      </c>
      <c r="S15" s="14" t="s">
        <v>45</v>
      </c>
      <c r="T15" s="14" t="s">
        <v>329</v>
      </c>
    </row>
    <row r="16" spans="1:20" ht="114.75" x14ac:dyDescent="0.35">
      <c r="A16" s="14" t="s">
        <v>46</v>
      </c>
      <c r="B16" s="19">
        <v>46081</v>
      </c>
      <c r="C16" s="20">
        <v>790000</v>
      </c>
      <c r="D16" s="20">
        <v>300000</v>
      </c>
      <c r="E16" s="20">
        <v>490000</v>
      </c>
      <c r="F16" s="20">
        <v>410000</v>
      </c>
      <c r="G16" s="20">
        <v>920000</v>
      </c>
      <c r="H16" s="20">
        <v>42000</v>
      </c>
      <c r="I16" s="20">
        <v>13500</v>
      </c>
      <c r="J16" s="21">
        <v>1765</v>
      </c>
      <c r="K16" s="21">
        <v>151</v>
      </c>
      <c r="L16" s="20">
        <v>160000</v>
      </c>
      <c r="M16" s="20">
        <v>920000</v>
      </c>
      <c r="N16" s="20">
        <v>410000</v>
      </c>
      <c r="O16" s="20" cm="1">
        <f t="array" ref="O16">SUMIF('Payer Mix'!$A$36:$A$59,A16,'Payer Mix'!$D$36:$D$59)</f>
        <v>410000</v>
      </c>
      <c r="P16" s="20" cm="1">
        <f t="array" ref="P16">N16-O16</f>
        <v>0</v>
      </c>
      <c r="Q16" s="22">
        <v>0.6</v>
      </c>
      <c r="R16" s="20">
        <v>25200</v>
      </c>
      <c r="S16" s="14" t="s">
        <v>47</v>
      </c>
      <c r="T16" s="14" t="s">
        <v>329</v>
      </c>
    </row>
    <row r="17" spans="1:20" ht="114.75" x14ac:dyDescent="0.35">
      <c r="A17" s="14" t="s">
        <v>48</v>
      </c>
      <c r="B17" s="19">
        <v>46112</v>
      </c>
      <c r="C17" s="20">
        <v>845000</v>
      </c>
      <c r="D17" s="20">
        <v>335000</v>
      </c>
      <c r="E17" s="20">
        <v>510000</v>
      </c>
      <c r="F17" s="20">
        <v>415000</v>
      </c>
      <c r="G17" s="20">
        <v>940000</v>
      </c>
      <c r="H17" s="20">
        <v>51000</v>
      </c>
      <c r="I17" s="20">
        <v>15000</v>
      </c>
      <c r="J17" s="21">
        <v>1850</v>
      </c>
      <c r="K17" s="21">
        <v>174</v>
      </c>
      <c r="L17" s="20">
        <v>175000</v>
      </c>
      <c r="M17" s="20">
        <v>940000</v>
      </c>
      <c r="N17" s="20">
        <v>415000</v>
      </c>
      <c r="O17" s="20" cm="1">
        <f t="array" ref="O17">SUMIF('Payer Mix'!$A$36:$A$59,A17,'Payer Mix'!$D$36:$D$59)</f>
        <v>415000</v>
      </c>
      <c r="P17" s="20" cm="1">
        <f t="array" ref="P17">N17-O17</f>
        <v>0</v>
      </c>
      <c r="Q17" s="22">
        <v>0.6</v>
      </c>
      <c r="R17" s="20">
        <v>30600</v>
      </c>
      <c r="S17" s="14" t="s">
        <v>49</v>
      </c>
      <c r="T17" s="14" t="s">
        <v>329</v>
      </c>
    </row>
    <row r="18" spans="1:20" ht="114.75" x14ac:dyDescent="0.35">
      <c r="A18" s="14" t="s">
        <v>50</v>
      </c>
      <c r="B18" s="19">
        <v>46142</v>
      </c>
      <c r="C18" s="20">
        <v>870000</v>
      </c>
      <c r="D18" s="20">
        <v>350000</v>
      </c>
      <c r="E18" s="20">
        <v>520000</v>
      </c>
      <c r="F18" s="20">
        <v>420000</v>
      </c>
      <c r="G18" s="20">
        <v>935000</v>
      </c>
      <c r="H18" s="20">
        <v>56000</v>
      </c>
      <c r="I18" s="20">
        <v>16000</v>
      </c>
      <c r="J18" s="21">
        <v>1905</v>
      </c>
      <c r="K18" s="21">
        <v>189</v>
      </c>
      <c r="L18" s="20">
        <v>185000</v>
      </c>
      <c r="M18" s="20">
        <v>935000</v>
      </c>
      <c r="N18" s="20">
        <v>420000</v>
      </c>
      <c r="O18" s="20" cm="1">
        <f t="array" ref="O18">SUMIF('Payer Mix'!$A$36:$A$59,A18,'Payer Mix'!$D$36:$D$59)</f>
        <v>420000</v>
      </c>
      <c r="P18" s="20" cm="1">
        <f t="array" ref="P18">N18-O18</f>
        <v>0</v>
      </c>
      <c r="Q18" s="22">
        <v>0.6</v>
      </c>
      <c r="R18" s="20">
        <v>33600</v>
      </c>
      <c r="S18" s="14" t="s">
        <v>51</v>
      </c>
      <c r="T18" s="14" t="s">
        <v>329</v>
      </c>
    </row>
    <row r="19" spans="1:20" ht="114.75" x14ac:dyDescent="0.35">
      <c r="A19" s="14" t="s">
        <v>52</v>
      </c>
      <c r="B19" s="19">
        <v>46173</v>
      </c>
      <c r="C19" s="20">
        <v>890000</v>
      </c>
      <c r="D19" s="20">
        <v>355000</v>
      </c>
      <c r="E19" s="20">
        <v>535000</v>
      </c>
      <c r="F19" s="20">
        <v>440000</v>
      </c>
      <c r="G19" s="20">
        <v>915000</v>
      </c>
      <c r="H19" s="20">
        <v>63000</v>
      </c>
      <c r="I19" s="20">
        <v>17500</v>
      </c>
      <c r="J19" s="21">
        <v>1950</v>
      </c>
      <c r="K19" s="21">
        <v>206</v>
      </c>
      <c r="L19" s="20">
        <v>190000</v>
      </c>
      <c r="M19" s="20">
        <v>915000</v>
      </c>
      <c r="N19" s="20">
        <v>440000</v>
      </c>
      <c r="O19" s="20" cm="1">
        <f t="array" ref="O19">SUMIF('Payer Mix'!$A$36:$A$59,A19,'Payer Mix'!$D$36:$D$59)</f>
        <v>440000</v>
      </c>
      <c r="P19" s="20" cm="1">
        <f t="array" ref="P19">N19-O19</f>
        <v>0</v>
      </c>
      <c r="Q19" s="22">
        <v>0.6</v>
      </c>
      <c r="R19" s="20">
        <v>37800</v>
      </c>
      <c r="S19" s="14" t="s">
        <v>53</v>
      </c>
      <c r="T19" s="14" t="s">
        <v>329</v>
      </c>
    </row>
    <row r="20" spans="1:20" ht="114.75" x14ac:dyDescent="0.35">
      <c r="A20" s="14" t="s">
        <v>54</v>
      </c>
      <c r="B20" s="19">
        <v>46203</v>
      </c>
      <c r="C20" s="20">
        <v>905000</v>
      </c>
      <c r="D20" s="20">
        <v>360000</v>
      </c>
      <c r="E20" s="20">
        <v>545000</v>
      </c>
      <c r="F20" s="20">
        <v>445000</v>
      </c>
      <c r="G20" s="20">
        <v>920000</v>
      </c>
      <c r="H20" s="20">
        <v>68000</v>
      </c>
      <c r="I20" s="20">
        <v>18000</v>
      </c>
      <c r="J20" s="21">
        <v>1985</v>
      </c>
      <c r="K20" s="21">
        <v>218</v>
      </c>
      <c r="L20" s="20">
        <v>200000</v>
      </c>
      <c r="M20" s="20">
        <v>920000</v>
      </c>
      <c r="N20" s="20">
        <v>445000</v>
      </c>
      <c r="O20" s="20" cm="1">
        <f t="array" ref="O20">SUMIF('Payer Mix'!$A$36:$A$59,A20,'Payer Mix'!$D$36:$D$59)</f>
        <v>445000</v>
      </c>
      <c r="P20" s="20" cm="1">
        <f t="array" ref="P20">N20-O20</f>
        <v>0</v>
      </c>
      <c r="Q20" s="22">
        <v>0.6</v>
      </c>
      <c r="R20" s="20">
        <v>40800</v>
      </c>
      <c r="S20" s="14" t="s">
        <v>55</v>
      </c>
      <c r="T20" s="14" t="s">
        <v>329</v>
      </c>
    </row>
    <row r="21" spans="1:20" ht="30" customHeight="1" x14ac:dyDescent="0.3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1:20" ht="30" customHeight="1" x14ac:dyDescent="0.3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8"/>
      <c r="R22" s="8"/>
      <c r="S22" s="8"/>
      <c r="T22" s="9"/>
    </row>
    <row r="23" spans="1:20" ht="30" customHeight="1" x14ac:dyDescent="0.35">
      <c r="A23" s="10" t="s">
        <v>56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8"/>
      <c r="S23" s="8"/>
      <c r="T23" s="9"/>
    </row>
    <row r="24" spans="1:20" ht="42" customHeight="1" x14ac:dyDescent="0.35">
      <c r="A24" s="10" t="s">
        <v>24</v>
      </c>
      <c r="B24" s="10" t="s">
        <v>6</v>
      </c>
      <c r="C24" s="10" t="s">
        <v>9</v>
      </c>
      <c r="D24" s="10" t="s">
        <v>57</v>
      </c>
      <c r="E24" s="10" t="s">
        <v>58</v>
      </c>
      <c r="F24" s="10" t="s">
        <v>12</v>
      </c>
      <c r="G24" s="10" t="s">
        <v>15</v>
      </c>
      <c r="H24" s="10" t="s">
        <v>59</v>
      </c>
      <c r="I24" s="10" t="s">
        <v>18</v>
      </c>
      <c r="J24" s="10" t="s">
        <v>20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64</v>
      </c>
      <c r="P24" s="10" t="s">
        <v>65</v>
      </c>
      <c r="Q24" s="12"/>
      <c r="R24" s="8"/>
      <c r="S24" s="8"/>
      <c r="T24" s="9"/>
    </row>
    <row r="25" spans="1:20" ht="30" customHeight="1" x14ac:dyDescent="0.35">
      <c r="A25" s="26" t="str" cm="1">
        <f t="array" ref="A25">A15</f>
        <v>Jan</v>
      </c>
      <c r="B25" s="22" cm="1">
        <f t="array" ref="B25">F15/C15</f>
        <v>0.53048780487804881</v>
      </c>
      <c r="C25" s="22" cm="1">
        <f t="array" ref="C25">F15/E15</f>
        <v>0.87</v>
      </c>
      <c r="D25" s="20" cm="1">
        <f t="array" ref="D25">SUM($C$15:$C$17)</f>
        <v>2455000</v>
      </c>
      <c r="E25" s="20" cm="1">
        <f t="array" ref="E25">D25/90</f>
        <v>27277.777777777777</v>
      </c>
      <c r="F25" s="21" cm="1">
        <f t="array" ref="F25">G15/E25</f>
        <v>32.993890020366599</v>
      </c>
      <c r="G25" s="22" cm="1">
        <f t="array" ref="G25">H15/C15</f>
        <v>4.6341463414634146E-2</v>
      </c>
      <c r="H25" s="22" cm="1">
        <f t="array" ref="H25">K15/J15</f>
        <v>7.8021978021978022E-2</v>
      </c>
      <c r="I25" s="22" cm="1">
        <f t="array" ref="I25">1-H25</f>
        <v>0.92197802197802203</v>
      </c>
      <c r="J25" s="22" cm="1">
        <f t="array" ref="J25">L15/M15</f>
        <v>0.16666666666666666</v>
      </c>
      <c r="K25" s="22" cm="1">
        <f t="array" ref="K25">I15/E15</f>
        <v>2.4E-2</v>
      </c>
      <c r="L25" s="26" t="str" cm="1">
        <f t="array" ref="L25">IF(C25&gt;=0.95,"Meets","Below")</f>
        <v>Below</v>
      </c>
      <c r="M25" s="26" t="str" cm="1">
        <f t="array" ref="M25">IF(F25&lt;=40,"Within","Above")</f>
        <v>Within</v>
      </c>
      <c r="N25" s="26" t="str" cm="1">
        <f t="array" ref="N25">IF(G25&gt;0.05,"Significant","Not Significant")</f>
        <v>Not Significant</v>
      </c>
      <c r="O25" s="26" t="str" cm="1">
        <f t="array" ref="O25">IF(J25&lt;0.15,"Within","Above")</f>
        <v>Above</v>
      </c>
      <c r="P25" s="26" t="str" cm="1">
        <f t="array" ref="P25">IF(I25&gt;=0.95,"Meets","Below")</f>
        <v>Below</v>
      </c>
      <c r="Q25" s="12"/>
      <c r="R25" s="8"/>
      <c r="S25" s="8"/>
      <c r="T25" s="9"/>
    </row>
    <row r="26" spans="1:20" ht="30" customHeight="1" x14ac:dyDescent="0.35">
      <c r="A26" s="26" t="str" cm="1">
        <f t="array" ref="A26">A16</f>
        <v>Feb</v>
      </c>
      <c r="B26" s="22" cm="1">
        <f t="array" ref="B26">F16/C16</f>
        <v>0.51898734177215189</v>
      </c>
      <c r="C26" s="22" cm="1">
        <f t="array" ref="C26">F16/E16</f>
        <v>0.83673469387755106</v>
      </c>
      <c r="D26" s="20" cm="1">
        <f t="array" ref="D26">SUM($C$15:$C$17)</f>
        <v>2455000</v>
      </c>
      <c r="E26" s="20" cm="1">
        <f t="array" ref="E26">D26/90</f>
        <v>27277.777777777777</v>
      </c>
      <c r="F26" s="21" cm="1">
        <f t="array" ref="F26">G16/E26</f>
        <v>33.727087576374743</v>
      </c>
      <c r="G26" s="22" cm="1">
        <f t="array" ref="G26">H16/C16</f>
        <v>5.3164556962025315E-2</v>
      </c>
      <c r="H26" s="22" cm="1">
        <f t="array" ref="H26">K16/J16</f>
        <v>8.5552407932011326E-2</v>
      </c>
      <c r="I26" s="22" cm="1">
        <f t="array" ref="I26">1-H26</f>
        <v>0.91444759206798865</v>
      </c>
      <c r="J26" s="22" cm="1">
        <f t="array" ref="J26">L16/M16</f>
        <v>0.17391304347826086</v>
      </c>
      <c r="K26" s="22" cm="1">
        <f t="array" ref="K26">I16/E16</f>
        <v>2.7551020408163266E-2</v>
      </c>
      <c r="L26" s="26" t="str" cm="1">
        <f t="array" ref="L26">IF(C26&gt;=0.95,"Meets","Below")</f>
        <v>Below</v>
      </c>
      <c r="M26" s="26" t="str" cm="1">
        <f t="array" ref="M26">IF(F26&lt;=40,"Within","Above")</f>
        <v>Within</v>
      </c>
      <c r="N26" s="26" t="str" cm="1">
        <f t="array" ref="N26">IF(G26&gt;0.05,"Significant","Not Significant")</f>
        <v>Significant</v>
      </c>
      <c r="O26" s="26" t="str" cm="1">
        <f t="array" ref="O26">IF(J26&lt;0.15,"Within","Above")</f>
        <v>Above</v>
      </c>
      <c r="P26" s="26" t="str" cm="1">
        <f t="array" ref="P26">IF(I26&gt;=0.95,"Meets","Below")</f>
        <v>Below</v>
      </c>
      <c r="Q26" s="12"/>
      <c r="R26" s="8"/>
      <c r="S26" s="8"/>
      <c r="T26" s="9"/>
    </row>
    <row r="27" spans="1:20" ht="30" customHeight="1" x14ac:dyDescent="0.35">
      <c r="A27" s="26" t="str" cm="1">
        <f t="array" ref="A27">A17</f>
        <v>Mar</v>
      </c>
      <c r="B27" s="22" cm="1">
        <f t="array" ref="B27">F17/C17</f>
        <v>0.4911242603550296</v>
      </c>
      <c r="C27" s="22" cm="1">
        <f t="array" ref="C27">F17/E17</f>
        <v>0.81372549019607843</v>
      </c>
      <c r="D27" s="20" cm="1">
        <f t="array" ref="D27">SUM($C$15:$C$17)</f>
        <v>2455000</v>
      </c>
      <c r="E27" s="20" cm="1">
        <f t="array" ref="E27">D27/90</f>
        <v>27277.777777777777</v>
      </c>
      <c r="F27" s="21" cm="1">
        <f t="array" ref="F27">G17/E27</f>
        <v>34.460285132382893</v>
      </c>
      <c r="G27" s="22" cm="1">
        <f t="array" ref="G27">H17/C17</f>
        <v>6.0355029585798817E-2</v>
      </c>
      <c r="H27" s="22" cm="1">
        <f t="array" ref="H27">K17/J17</f>
        <v>9.4054054054054051E-2</v>
      </c>
      <c r="I27" s="22" cm="1">
        <f t="array" ref="I27">1-H27</f>
        <v>0.90594594594594591</v>
      </c>
      <c r="J27" s="22" cm="1">
        <f t="array" ref="J27">L17/M17</f>
        <v>0.18617021276595744</v>
      </c>
      <c r="K27" s="22" cm="1">
        <f t="array" ref="K27">I17/E17</f>
        <v>2.9411764705882353E-2</v>
      </c>
      <c r="L27" s="26" t="str" cm="1">
        <f t="array" ref="L27">IF(C27&gt;=0.95,"Meets","Below")</f>
        <v>Below</v>
      </c>
      <c r="M27" s="26" t="str" cm="1">
        <f t="array" ref="M27">IF(F27&lt;=40,"Within","Above")</f>
        <v>Within</v>
      </c>
      <c r="N27" s="26" t="str" cm="1">
        <f t="array" ref="N27">IF(G27&gt;0.05,"Significant","Not Significant")</f>
        <v>Significant</v>
      </c>
      <c r="O27" s="26" t="str" cm="1">
        <f t="array" ref="O27">IF(J27&lt;0.15,"Within","Above")</f>
        <v>Above</v>
      </c>
      <c r="P27" s="26" t="str" cm="1">
        <f t="array" ref="P27">IF(I27&gt;=0.95,"Meets","Below")</f>
        <v>Below</v>
      </c>
      <c r="Q27" s="12"/>
      <c r="R27" s="8"/>
      <c r="S27" s="8"/>
      <c r="T27" s="9"/>
    </row>
    <row r="28" spans="1:20" ht="30" customHeight="1" x14ac:dyDescent="0.35">
      <c r="A28" s="26" t="str" cm="1">
        <f t="array" ref="A28">A18</f>
        <v>Apr</v>
      </c>
      <c r="B28" s="22" cm="1">
        <f t="array" ref="B28">F18/C18</f>
        <v>0.48275862068965519</v>
      </c>
      <c r="C28" s="22" cm="1">
        <f t="array" ref="C28">F18/E18</f>
        <v>0.80769230769230771</v>
      </c>
      <c r="D28" s="20" cm="1">
        <f t="array" ref="D28">SUM($C$16:$C$18)</f>
        <v>2505000</v>
      </c>
      <c r="E28" s="20" cm="1">
        <f t="array" ref="E28">D28/90</f>
        <v>27833.333333333332</v>
      </c>
      <c r="F28" s="21" cm="1">
        <f t="array" ref="F28">G18/E28</f>
        <v>33.592814371257489</v>
      </c>
      <c r="G28" s="22" cm="1">
        <f t="array" ref="G28">H18/C18</f>
        <v>6.4367816091954022E-2</v>
      </c>
      <c r="H28" s="22" cm="1">
        <f t="array" ref="H28">K18/J18</f>
        <v>9.9212598425196849E-2</v>
      </c>
      <c r="I28" s="22" cm="1">
        <f t="array" ref="I28">1-H28</f>
        <v>0.90078740157480319</v>
      </c>
      <c r="J28" s="22" cm="1">
        <f t="array" ref="J28">L18/M18</f>
        <v>0.19786096256684493</v>
      </c>
      <c r="K28" s="22" cm="1">
        <f t="array" ref="K28">I18/E18</f>
        <v>3.0769230769230771E-2</v>
      </c>
      <c r="L28" s="26" t="str" cm="1">
        <f t="array" ref="L28">IF(C28&gt;=0.95,"Meets","Below")</f>
        <v>Below</v>
      </c>
      <c r="M28" s="26" t="str" cm="1">
        <f t="array" ref="M28">IF(F28&lt;=40,"Within","Above")</f>
        <v>Within</v>
      </c>
      <c r="N28" s="26" t="str" cm="1">
        <f t="array" ref="N28">IF(G28&gt;0.05,"Significant","Not Significant")</f>
        <v>Significant</v>
      </c>
      <c r="O28" s="26" t="str" cm="1">
        <f t="array" ref="O28">IF(J28&lt;0.15,"Within","Above")</f>
        <v>Above</v>
      </c>
      <c r="P28" s="26" t="str" cm="1">
        <f t="array" ref="P28">IF(I28&gt;=0.95,"Meets","Below")</f>
        <v>Below</v>
      </c>
      <c r="Q28" s="12"/>
      <c r="R28" s="8"/>
      <c r="S28" s="8"/>
      <c r="T28" s="9"/>
    </row>
    <row r="29" spans="1:20" ht="30" customHeight="1" x14ac:dyDescent="0.35">
      <c r="A29" s="26" t="str" cm="1">
        <f t="array" ref="A29">A19</f>
        <v>May</v>
      </c>
      <c r="B29" s="22" cm="1">
        <f t="array" ref="B29">F19/C19</f>
        <v>0.4943820224719101</v>
      </c>
      <c r="C29" s="22" cm="1">
        <f t="array" ref="C29">F19/E19</f>
        <v>0.82242990654205606</v>
      </c>
      <c r="D29" s="20" cm="1">
        <f t="array" ref="D29">SUM($C$17:$C$19)</f>
        <v>2605000</v>
      </c>
      <c r="E29" s="20" cm="1">
        <f t="array" ref="E29">D29/90</f>
        <v>28944.444444444445</v>
      </c>
      <c r="F29" s="21" cm="1">
        <f t="array" ref="F29">G19/E29</f>
        <v>31.612284069097889</v>
      </c>
      <c r="G29" s="22" cm="1">
        <f t="array" ref="G29">H19/C19</f>
        <v>7.0786516853932585E-2</v>
      </c>
      <c r="H29" s="22" cm="1">
        <f t="array" ref="H29">K19/J19</f>
        <v>0.10564102564102563</v>
      </c>
      <c r="I29" s="22" cm="1">
        <f t="array" ref="I29">1-H29</f>
        <v>0.89435897435897438</v>
      </c>
      <c r="J29" s="22" cm="1">
        <f t="array" ref="J29">L19/M19</f>
        <v>0.20765027322404372</v>
      </c>
      <c r="K29" s="22" cm="1">
        <f t="array" ref="K29">I19/E19</f>
        <v>3.2710280373831772E-2</v>
      </c>
      <c r="L29" s="26" t="str" cm="1">
        <f t="array" ref="L29">IF(C29&gt;=0.95,"Meets","Below")</f>
        <v>Below</v>
      </c>
      <c r="M29" s="26" t="str" cm="1">
        <f t="array" ref="M29">IF(F29&lt;=40,"Within","Above")</f>
        <v>Within</v>
      </c>
      <c r="N29" s="26" t="str" cm="1">
        <f t="array" ref="N29">IF(G29&gt;0.05,"Significant","Not Significant")</f>
        <v>Significant</v>
      </c>
      <c r="O29" s="26" t="str" cm="1">
        <f t="array" ref="O29">IF(J29&lt;0.15,"Within","Above")</f>
        <v>Above</v>
      </c>
      <c r="P29" s="26" t="str" cm="1">
        <f t="array" ref="P29">IF(I29&gt;=0.95,"Meets","Below")</f>
        <v>Below</v>
      </c>
      <c r="Q29" s="12"/>
      <c r="R29" s="8"/>
      <c r="S29" s="8"/>
      <c r="T29" s="9"/>
    </row>
    <row r="30" spans="1:20" ht="30" customHeight="1" x14ac:dyDescent="0.35">
      <c r="A30" s="26" t="str" cm="1">
        <f t="array" ref="A30">A20</f>
        <v>Jun</v>
      </c>
      <c r="B30" s="22" cm="1">
        <f t="array" ref="B30">F20/C20</f>
        <v>0.49171270718232046</v>
      </c>
      <c r="C30" s="22" cm="1">
        <f t="array" ref="C30">F20/E20</f>
        <v>0.8165137614678899</v>
      </c>
      <c r="D30" s="20" cm="1">
        <f t="array" ref="D30">SUM($C$18:$C$20)</f>
        <v>2665000</v>
      </c>
      <c r="E30" s="20" cm="1">
        <f t="array" ref="E30">D30/90</f>
        <v>29611.111111111109</v>
      </c>
      <c r="F30" s="21" cm="1">
        <f t="array" ref="F30">G20/E30</f>
        <v>31.069418386491559</v>
      </c>
      <c r="G30" s="22" cm="1">
        <f t="array" ref="G30">H20/C20</f>
        <v>7.5138121546961326E-2</v>
      </c>
      <c r="H30" s="22" cm="1">
        <f t="array" ref="H30">K20/J20</f>
        <v>0.10982367758186398</v>
      </c>
      <c r="I30" s="22" cm="1">
        <f t="array" ref="I30">1-H30</f>
        <v>0.89017632241813605</v>
      </c>
      <c r="J30" s="22" cm="1">
        <f t="array" ref="J30">L20/M20</f>
        <v>0.21739130434782608</v>
      </c>
      <c r="K30" s="22" cm="1">
        <f t="array" ref="K30">I20/E20</f>
        <v>3.3027522935779818E-2</v>
      </c>
      <c r="L30" s="26" t="str" cm="1">
        <f t="array" ref="L30">IF(C30&gt;=0.95,"Meets","Below")</f>
        <v>Below</v>
      </c>
      <c r="M30" s="26" t="str" cm="1">
        <f t="array" ref="M30">IF(F30&lt;=40,"Within","Above")</f>
        <v>Within</v>
      </c>
      <c r="N30" s="26" t="str" cm="1">
        <f t="array" ref="N30">IF(G30&gt;0.05,"Significant","Not Significant")</f>
        <v>Significant</v>
      </c>
      <c r="O30" s="26" t="str" cm="1">
        <f t="array" ref="O30">IF(J30&lt;0.15,"Within","Above")</f>
        <v>Above</v>
      </c>
      <c r="P30" s="26" t="str" cm="1">
        <f t="array" ref="P30">IF(I30&gt;=0.95,"Meets","Below")</f>
        <v>Below</v>
      </c>
      <c r="Q30" s="12"/>
      <c r="R30" s="8"/>
      <c r="S30" s="8"/>
      <c r="T30" s="9"/>
    </row>
    <row r="31" spans="1:20" ht="30" customHeight="1" x14ac:dyDescent="0.3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8"/>
      <c r="R31" s="8"/>
      <c r="S31" s="8"/>
      <c r="T31" s="9"/>
    </row>
    <row r="32" spans="1:20" ht="30" customHeight="1" x14ac:dyDescent="0.35">
      <c r="A32" s="6"/>
      <c r="B32" s="7"/>
      <c r="C32" s="7"/>
      <c r="D32" s="7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/>
    </row>
    <row r="33" spans="1:20" ht="30" customHeight="1" x14ac:dyDescent="0.35">
      <c r="A33" s="10" t="s">
        <v>66</v>
      </c>
      <c r="B33" s="11"/>
      <c r="C33" s="11"/>
      <c r="D33" s="11"/>
      <c r="E33" s="11"/>
      <c r="F33" s="1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</row>
    <row r="34" spans="1:20" ht="30" customHeight="1" x14ac:dyDescent="0.35">
      <c r="A34" s="10" t="s">
        <v>3</v>
      </c>
      <c r="B34" s="10" t="s">
        <v>67</v>
      </c>
      <c r="C34" s="10" t="s">
        <v>68</v>
      </c>
      <c r="D34" s="10" t="s">
        <v>69</v>
      </c>
      <c r="E34" s="10" t="s">
        <v>70</v>
      </c>
      <c r="F34" s="12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/>
    </row>
    <row r="35" spans="1:20" ht="44" customHeight="1" x14ac:dyDescent="0.35">
      <c r="A35" s="14" t="s">
        <v>71</v>
      </c>
      <c r="B35" s="19" cm="1">
        <f t="array" ref="B35">DATE(2026,7,1)</f>
        <v>46204</v>
      </c>
      <c r="C35" s="14" t="s">
        <v>72</v>
      </c>
      <c r="D35" s="14" t="s">
        <v>73</v>
      </c>
      <c r="E35" s="14" t="s">
        <v>74</v>
      </c>
      <c r="F35" s="12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/>
    </row>
    <row r="36" spans="1:20" ht="44" customHeight="1" x14ac:dyDescent="0.35">
      <c r="A36" s="14" t="s">
        <v>75</v>
      </c>
      <c r="B36" s="20" cm="1">
        <f t="array" ref="B36">SUM(C15:C20)</f>
        <v>5120000</v>
      </c>
      <c r="C36" s="14" t="s">
        <v>73</v>
      </c>
      <c r="D36" s="14" t="s">
        <v>73</v>
      </c>
      <c r="E36" s="14" t="s">
        <v>76</v>
      </c>
      <c r="F36" s="12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/>
    </row>
    <row r="37" spans="1:20" ht="44" customHeight="1" x14ac:dyDescent="0.35">
      <c r="A37" s="14" t="s">
        <v>77</v>
      </c>
      <c r="B37" s="20" cm="1">
        <f t="array" ref="B37">SUM(E15:E20)</f>
        <v>3100000</v>
      </c>
      <c r="C37" s="14" t="s">
        <v>73</v>
      </c>
      <c r="D37" s="14" t="s">
        <v>73</v>
      </c>
      <c r="E37" s="14" t="s">
        <v>78</v>
      </c>
      <c r="F37" s="12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/>
    </row>
    <row r="38" spans="1:20" ht="44" customHeight="1" x14ac:dyDescent="0.35">
      <c r="A38" s="14" t="s">
        <v>79</v>
      </c>
      <c r="B38" s="20" cm="1">
        <f t="array" ref="B38">SUM(F15:F20)</f>
        <v>2565000</v>
      </c>
      <c r="C38" s="14" t="s">
        <v>73</v>
      </c>
      <c r="D38" s="14" t="s">
        <v>73</v>
      </c>
      <c r="E38" s="14" t="s">
        <v>80</v>
      </c>
      <c r="F38" s="12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</row>
    <row r="39" spans="1:20" ht="44" customHeight="1" x14ac:dyDescent="0.35">
      <c r="A39" s="14" t="s">
        <v>81</v>
      </c>
      <c r="B39" s="22" cm="1">
        <f t="array" ref="B39">SUM(F15:F20)/SUM(C15:C20)</f>
        <v>0.5009765625</v>
      </c>
      <c r="C39" s="14" t="s">
        <v>73</v>
      </c>
      <c r="D39" s="14" t="s">
        <v>73</v>
      </c>
      <c r="E39" s="14" t="s">
        <v>82</v>
      </c>
      <c r="F39" s="12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/>
    </row>
    <row r="40" spans="1:20" ht="44" customHeight="1" x14ac:dyDescent="0.35">
      <c r="A40" s="14" t="s">
        <v>83</v>
      </c>
      <c r="B40" s="22" cm="1">
        <f t="array" ref="B40">SUM(F15:F20)/SUM(E15:E20)</f>
        <v>0.82741935483870965</v>
      </c>
      <c r="C40" s="14" t="s">
        <v>11</v>
      </c>
      <c r="D40" s="27" t="str" cm="1">
        <f t="array" ref="D40">IF(B40&gt;=0.95,"Meets benchmark","Below benchmark")</f>
        <v>Below benchmark</v>
      </c>
      <c r="E40" s="14" t="s">
        <v>84</v>
      </c>
      <c r="F40" s="12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/>
    </row>
    <row r="41" spans="1:20" ht="44" customHeight="1" x14ac:dyDescent="0.35">
      <c r="A41" s="14" t="s">
        <v>85</v>
      </c>
      <c r="B41" s="22" cm="1">
        <f t="array" ref="B41">'Payer Mix'!B16</f>
        <v>0.89935390624999989</v>
      </c>
      <c r="C41" s="14" t="s">
        <v>86</v>
      </c>
      <c r="D41" s="27" t="str" cm="1">
        <f t="array" ref="D41">IF(B41&gt;=0.95,"At or above benchmark","Below 95% benchmark")</f>
        <v>Below 95% benchmark</v>
      </c>
      <c r="E41" s="14" t="s">
        <v>87</v>
      </c>
      <c r="F41" s="12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44" customHeight="1" x14ac:dyDescent="0.35">
      <c r="A42" s="14" t="s">
        <v>88</v>
      </c>
      <c r="B42" s="22" cm="1">
        <f t="array" ref="B42">B40-B41</f>
        <v>-7.1934551411290237E-2</v>
      </c>
      <c r="C42" s="14" t="s">
        <v>89</v>
      </c>
      <c r="D42" s="27" t="str" cm="1">
        <f t="array" ref="D42">IF(B42&lt;0,"Below expectation","At/above expectation")</f>
        <v>Below expectation</v>
      </c>
      <c r="E42" s="14" t="s">
        <v>90</v>
      </c>
      <c r="F42" s="1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"/>
    </row>
    <row r="43" spans="1:20" ht="44" customHeight="1" x14ac:dyDescent="0.35">
      <c r="A43" s="14" t="s">
        <v>91</v>
      </c>
      <c r="B43" s="20" cm="1">
        <f t="array" ref="B43">B41*B37</f>
        <v>2787997.1093749995</v>
      </c>
      <c r="C43" s="14" t="s">
        <v>73</v>
      </c>
      <c r="D43" s="14" t="s">
        <v>73</v>
      </c>
      <c r="E43" s="14" t="s">
        <v>92</v>
      </c>
      <c r="F43" s="1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/>
    </row>
    <row r="44" spans="1:20" ht="44" customHeight="1" x14ac:dyDescent="0.35">
      <c r="A44" s="14" t="s">
        <v>93</v>
      </c>
      <c r="B44" s="20" cm="1">
        <f t="array" ref="B44">B43-B38</f>
        <v>222997.10937499953</v>
      </c>
      <c r="C44" s="14" t="s">
        <v>94</v>
      </c>
      <c r="D44" s="27" t="str" cm="1">
        <f t="array" ref="D44">IF(B44&gt;0,"Shortfall","No shortfall")</f>
        <v>Shortfall</v>
      </c>
      <c r="E44" s="14" t="s">
        <v>95</v>
      </c>
      <c r="F44" s="12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/>
    </row>
    <row r="45" spans="1:20" ht="44" customHeight="1" x14ac:dyDescent="0.35">
      <c r="A45" s="14" t="s">
        <v>96</v>
      </c>
      <c r="B45" s="20" cm="1">
        <f t="array" ref="B45">G20</f>
        <v>920000</v>
      </c>
      <c r="C45" s="14" t="s">
        <v>73</v>
      </c>
      <c r="D45" s="14" t="s">
        <v>73</v>
      </c>
      <c r="E45" s="14" t="s">
        <v>97</v>
      </c>
      <c r="F45" s="12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/>
    </row>
    <row r="46" spans="1:20" ht="44" customHeight="1" x14ac:dyDescent="0.35">
      <c r="A46" s="14" t="s">
        <v>98</v>
      </c>
      <c r="B46" s="26" t="str" cm="1">
        <f t="array" ref="B46">IF(ABS(G20/G15-1)&lt;=0.05,"Stable",IF(G20&lt;G15,"Improving","Worsening"))</f>
        <v>Stable</v>
      </c>
      <c r="C46" s="14" t="s">
        <v>99</v>
      </c>
      <c r="D46" s="27" t="str" cm="1">
        <f t="array" ref="D46">B46</f>
        <v>Stable</v>
      </c>
      <c r="E46" s="14" t="s">
        <v>100</v>
      </c>
      <c r="F46" s="12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</row>
    <row r="47" spans="1:20" ht="44" customHeight="1" x14ac:dyDescent="0.35">
      <c r="A47" s="14" t="s">
        <v>101</v>
      </c>
      <c r="B47" s="21" cm="1">
        <f t="array" ref="B47">AVERAGE(F25:F27)</f>
        <v>33.727087576374743</v>
      </c>
      <c r="C47" s="14" t="s">
        <v>73</v>
      </c>
      <c r="D47" s="14" t="s">
        <v>73</v>
      </c>
      <c r="E47" s="14" t="s">
        <v>102</v>
      </c>
      <c r="F47" s="12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44" customHeight="1" x14ac:dyDescent="0.35">
      <c r="A48" s="14" t="s">
        <v>103</v>
      </c>
      <c r="B48" s="21" cm="1">
        <f t="array" ref="B48">AVERAGE(F28:F30)</f>
        <v>32.091505608948985</v>
      </c>
      <c r="C48" s="14" t="s">
        <v>73</v>
      </c>
      <c r="D48" s="14" t="s">
        <v>73</v>
      </c>
      <c r="E48" s="14" t="s">
        <v>104</v>
      </c>
      <c r="F48" s="12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</row>
    <row r="49" spans="1:20" ht="44" customHeight="1" x14ac:dyDescent="0.35">
      <c r="A49" s="14" t="s">
        <v>105</v>
      </c>
      <c r="B49" s="26" t="str" cm="1">
        <f t="array" ref="B49">IF(B48&gt;B47*1.1,"Worsening",IF(B48&lt;B47,"Improving","Stable"))</f>
        <v>Improving</v>
      </c>
      <c r="C49" s="14" t="s">
        <v>106</v>
      </c>
      <c r="D49" s="27" t="str" cm="1">
        <f t="array" ref="D49">B49</f>
        <v>Improving</v>
      </c>
      <c r="E49" s="14" t="s">
        <v>107</v>
      </c>
      <c r="F49" s="12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</row>
    <row r="50" spans="1:20" ht="44" customHeight="1" x14ac:dyDescent="0.35">
      <c r="A50" s="14" t="s">
        <v>108</v>
      </c>
      <c r="B50" s="22" cm="1">
        <f t="array" ref="B50">SUM(H15:H20)/SUM(C15:C20)</f>
        <v>6.2109375000000001E-2</v>
      </c>
      <c r="C50" s="14" t="s">
        <v>17</v>
      </c>
      <c r="D50" s="27" t="str" cm="1">
        <f t="array" ref="D50">IF(B50&gt;0.05,"Significant problem","Not significant")</f>
        <v>Significant problem</v>
      </c>
      <c r="E50" s="14" t="s">
        <v>335</v>
      </c>
      <c r="F50" s="12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/>
    </row>
    <row r="51" spans="1:20" ht="44" customHeight="1" x14ac:dyDescent="0.35">
      <c r="A51" s="14" t="s">
        <v>109</v>
      </c>
      <c r="B51" s="20" cm="1">
        <f t="array" ref="B51">MAX(0,SUM(H15:H20)-(0.05*SUM(C15:C20)))</f>
        <v>62000</v>
      </c>
      <c r="C51" s="14" t="s">
        <v>110</v>
      </c>
      <c r="D51" s="27" t="str" cm="1">
        <f t="array" ref="D51">IF(B51&gt;0,"Above threshold","At/below threshold")</f>
        <v>Above threshold</v>
      </c>
      <c r="E51" s="14" t="s">
        <v>111</v>
      </c>
      <c r="F51" s="12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</row>
    <row r="52" spans="1:20" ht="44" customHeight="1" x14ac:dyDescent="0.35">
      <c r="A52" s="14" t="s">
        <v>112</v>
      </c>
      <c r="B52" s="20" cm="1">
        <f t="array" ref="B52">SUM(R15:R20)</f>
        <v>190800</v>
      </c>
      <c r="C52" s="14" t="s">
        <v>73</v>
      </c>
      <c r="D52" s="14" t="s">
        <v>73</v>
      </c>
      <c r="E52" s="14" t="s">
        <v>336</v>
      </c>
      <c r="F52" s="12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</row>
    <row r="53" spans="1:20" ht="44" customHeight="1" x14ac:dyDescent="0.35">
      <c r="A53" s="14" t="s">
        <v>113</v>
      </c>
      <c r="B53" s="22" cm="1">
        <f t="array" ref="B53">J30</f>
        <v>0.21739130434782608</v>
      </c>
      <c r="C53" s="14" t="s">
        <v>114</v>
      </c>
      <c r="D53" s="27" t="str" cm="1">
        <f t="array" ref="D53">IF(B53&lt;0.15,"Within benchmark","Above benchmark")</f>
        <v>Above benchmark</v>
      </c>
      <c r="E53" s="14" t="s">
        <v>115</v>
      </c>
      <c r="F53" s="12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</row>
    <row r="54" spans="1:20" ht="44" customHeight="1" x14ac:dyDescent="0.35">
      <c r="A54" s="14" t="s">
        <v>116</v>
      </c>
      <c r="B54" s="22" cm="1">
        <f t="array" ref="B54">1-(SUM(K15:K20)/SUM(J15:J20))</f>
        <v>0.90421286031042125</v>
      </c>
      <c r="C54" s="14" t="s">
        <v>11</v>
      </c>
      <c r="D54" s="27" t="str" cm="1">
        <f t="array" ref="D54">IF(B54&gt;=0.95,"Meets benchmark","Below benchmark")</f>
        <v>Below benchmark</v>
      </c>
      <c r="E54" s="14" t="s">
        <v>337</v>
      </c>
      <c r="F54" s="1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/>
    </row>
    <row r="55" spans="1:20" ht="44" customHeight="1" x14ac:dyDescent="0.35">
      <c r="A55" s="14" t="s">
        <v>117</v>
      </c>
      <c r="B55" s="22" cm="1">
        <f t="array" ref="B55">SUM(I15:I20)/SUM(E15:E20)</f>
        <v>2.9677419354838711E-2</v>
      </c>
      <c r="C55" s="14" t="s">
        <v>118</v>
      </c>
      <c r="D55" s="27" t="str" cm="1">
        <f t="array" ref="D55">IF(B55&lt;0.03,"Within benchmark","Above benchmark")</f>
        <v>Within benchmark</v>
      </c>
      <c r="E55" s="14" t="s">
        <v>120</v>
      </c>
      <c r="F55" s="12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9"/>
    </row>
    <row r="56" spans="1:20" ht="44" customHeight="1" x14ac:dyDescent="0.35">
      <c r="A56" s="14" t="s">
        <v>121</v>
      </c>
      <c r="B56" s="20" cm="1">
        <f t="array" ref="B56">SUM(P15:P20)</f>
        <v>0</v>
      </c>
      <c r="C56" s="14" t="s">
        <v>122</v>
      </c>
      <c r="D56" s="27" t="str" cm="1">
        <f t="array" ref="D56">IF(ABS(B56)&lt;=0.01,"Ties within $0.01","Variance exceeds $0.01")</f>
        <v>Ties within $0.01</v>
      </c>
      <c r="E56" s="14" t="s">
        <v>123</v>
      </c>
      <c r="F56" s="12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/>
    </row>
    <row r="57" spans="1:20" ht="30" customHeight="1" x14ac:dyDescent="0.35">
      <c r="A57" s="23"/>
      <c r="B57" s="24"/>
      <c r="C57" s="24"/>
      <c r="D57" s="24"/>
      <c r="E57" s="24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9"/>
    </row>
    <row r="58" spans="1:20" ht="30" customHeight="1" x14ac:dyDescent="0.35">
      <c r="A58" s="6"/>
      <c r="B58" s="7"/>
      <c r="C58" s="7"/>
      <c r="D58" s="7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/>
    </row>
    <row r="59" spans="1:20" ht="30" customHeight="1" x14ac:dyDescent="0.35">
      <c r="A59" s="10" t="s">
        <v>124</v>
      </c>
      <c r="B59" s="11"/>
      <c r="C59" s="11"/>
      <c r="D59" s="11"/>
      <c r="E59" s="11"/>
      <c r="F59" s="12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/>
    </row>
    <row r="60" spans="1:20" ht="68" customHeight="1" x14ac:dyDescent="0.35">
      <c r="A60" s="83" t="s">
        <v>125</v>
      </c>
      <c r="B60" s="84"/>
      <c r="C60" s="84"/>
      <c r="D60" s="84"/>
      <c r="E60" s="85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9"/>
    </row>
    <row r="61" spans="1:20" ht="15" customHeight="1" x14ac:dyDescent="0.35">
      <c r="A61" s="86"/>
      <c r="B61" s="86"/>
      <c r="C61" s="86"/>
      <c r="D61" s="86"/>
      <c r="E61" s="87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</sheetData>
  <mergeCells count="3">
    <mergeCell ref="A60:E61"/>
    <mergeCell ref="A1:J1"/>
    <mergeCell ref="A2:T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showGridLines="0" topLeftCell="H7" workbookViewId="0">
      <selection activeCell="L10" sqref="L10"/>
    </sheetView>
  </sheetViews>
  <sheetFormatPr defaultColWidth="8.46484375" defaultRowHeight="15" customHeight="1" x14ac:dyDescent="0.35"/>
  <cols>
    <col min="1" max="1" width="16" style="1" customWidth="1"/>
    <col min="2" max="6" width="14" style="1" customWidth="1"/>
    <col min="7" max="7" width="42" style="1" customWidth="1"/>
    <col min="8" max="10" width="14" style="1" customWidth="1"/>
    <col min="11" max="11" width="28" style="1" customWidth="1"/>
    <col min="12" max="12" width="56" style="1" customWidth="1"/>
    <col min="13" max="13" width="8.46484375" style="1" customWidth="1"/>
    <col min="14" max="16384" width="8.46484375" style="1"/>
  </cols>
  <sheetData>
    <row r="1" spans="1:12" ht="24" customHeight="1" x14ac:dyDescent="0.35">
      <c r="A1" s="77" t="s">
        <v>126</v>
      </c>
      <c r="B1" s="78"/>
      <c r="C1" s="78"/>
      <c r="D1" s="78"/>
      <c r="E1" s="78"/>
      <c r="F1" s="78"/>
      <c r="G1" s="78"/>
      <c r="H1" s="78"/>
      <c r="I1" s="78"/>
      <c r="J1" s="78"/>
      <c r="K1" s="2"/>
      <c r="L1" s="3"/>
    </row>
    <row r="2" spans="1:12" ht="36" customHeight="1" x14ac:dyDescent="0.35">
      <c r="A2" s="80" t="s">
        <v>127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2"/>
    </row>
    <row r="3" spans="1:12" ht="30" customHeight="1" x14ac:dyDescent="0.35">
      <c r="A3" s="30"/>
      <c r="B3" s="8"/>
      <c r="C3" s="8"/>
      <c r="D3" s="31"/>
      <c r="E3" s="8"/>
      <c r="F3" s="8"/>
      <c r="G3" s="31"/>
      <c r="H3" s="8"/>
      <c r="I3" s="8"/>
      <c r="J3" s="31"/>
      <c r="K3" s="8"/>
      <c r="L3" s="9"/>
    </row>
    <row r="4" spans="1:12" ht="30" customHeight="1" x14ac:dyDescent="0.35">
      <c r="A4" s="32" t="s">
        <v>128</v>
      </c>
      <c r="B4" s="33"/>
      <c r="C4" s="34"/>
      <c r="D4" s="32" t="s">
        <v>12</v>
      </c>
      <c r="E4" s="33"/>
      <c r="F4" s="34"/>
      <c r="G4" s="32" t="s">
        <v>129</v>
      </c>
      <c r="H4" s="33"/>
      <c r="I4" s="34"/>
      <c r="J4" s="32" t="s">
        <v>130</v>
      </c>
      <c r="K4" s="33"/>
      <c r="L4" s="35"/>
    </row>
    <row r="5" spans="1:12" ht="30" customHeight="1" x14ac:dyDescent="0.35">
      <c r="A5" s="36" t="str" cm="1">
        <f t="array" ref="A5">'KPI Calculations'!B46</f>
        <v>Stable</v>
      </c>
      <c r="B5" s="37" t="str" cm="1">
        <f t="array" ref="B5">""</f>
        <v/>
      </c>
      <c r="C5" s="34"/>
      <c r="D5" s="36" t="str" cm="1">
        <f t="array" ref="D5">'KPI Calculations'!B49</f>
        <v>Improving</v>
      </c>
      <c r="E5" s="37" t="str" cm="1">
        <f t="array" ref="E5">""</f>
        <v/>
      </c>
      <c r="F5" s="34"/>
      <c r="G5" s="36" t="str" cm="1">
        <f t="array" ref="G5">'KPI Calculations'!D50</f>
        <v>Significant problem</v>
      </c>
      <c r="H5" s="37" t="str" cm="1">
        <f t="array" ref="H5">""</f>
        <v/>
      </c>
      <c r="I5" s="34"/>
      <c r="J5" s="36" t="str" cm="1">
        <f t="array" ref="J5">'KPI Calculations'!D53</f>
        <v>Above benchmark</v>
      </c>
      <c r="K5" s="37" t="str" cm="1">
        <f t="array" ref="K5">""</f>
        <v/>
      </c>
      <c r="L5" s="35"/>
    </row>
    <row r="6" spans="1:12" ht="30" customHeight="1" x14ac:dyDescent="0.35">
      <c r="A6" s="38"/>
      <c r="B6" s="8"/>
      <c r="C6" s="8"/>
      <c r="D6" s="39"/>
      <c r="E6" s="8"/>
      <c r="F6" s="8"/>
      <c r="G6" s="39"/>
      <c r="H6" s="8"/>
      <c r="I6" s="8"/>
      <c r="J6" s="39"/>
      <c r="K6" s="8"/>
      <c r="L6" s="9"/>
    </row>
    <row r="7" spans="1:12" ht="30" customHeigh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9"/>
    </row>
    <row r="8" spans="1:12" ht="30" customHeight="1" x14ac:dyDescent="0.35">
      <c r="A8" s="10" t="s">
        <v>131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40"/>
    </row>
    <row r="9" spans="1:12" ht="30" customHeight="1" x14ac:dyDescent="0.35">
      <c r="A9" s="10" t="s">
        <v>24</v>
      </c>
      <c r="B9" s="10" t="s">
        <v>6</v>
      </c>
      <c r="C9" s="10" t="s">
        <v>9</v>
      </c>
      <c r="D9" s="10" t="s">
        <v>132</v>
      </c>
      <c r="E9" s="10" t="s">
        <v>133</v>
      </c>
      <c r="F9" s="10" t="s">
        <v>12</v>
      </c>
      <c r="G9" s="10" t="s">
        <v>15</v>
      </c>
      <c r="H9" s="10" t="s">
        <v>18</v>
      </c>
      <c r="I9" s="10" t="s">
        <v>20</v>
      </c>
      <c r="J9" s="10" t="s">
        <v>30</v>
      </c>
      <c r="K9" s="10" t="s">
        <v>42</v>
      </c>
      <c r="L9" s="41" t="s">
        <v>134</v>
      </c>
    </row>
    <row r="10" spans="1:12" ht="82.05" customHeight="1" x14ac:dyDescent="0.35">
      <c r="A10" s="26" t="str" cm="1">
        <f t="array" ref="A10">'KPI Calculations'!A25</f>
        <v>Jan</v>
      </c>
      <c r="B10" s="22" cm="1">
        <f t="array" ref="B10">'KPI Calculations'!B25</f>
        <v>0.53048780487804881</v>
      </c>
      <c r="C10" s="22" cm="1">
        <f t="array" ref="C10">'KPI Calculations'!C25</f>
        <v>0.87</v>
      </c>
      <c r="D10" s="22" cm="1">
        <f t="array" ref="D10">'Payer Mix'!C28</f>
        <v>0.90949999999999998</v>
      </c>
      <c r="E10" s="22" cm="1">
        <f t="array" ref="E10">C10-D10</f>
        <v>-3.949999999999998E-2</v>
      </c>
      <c r="F10" s="21" cm="1">
        <f t="array" ref="F10">'KPI Calculations'!F25</f>
        <v>32.993890020366599</v>
      </c>
      <c r="G10" s="22" cm="1">
        <f t="array" ref="G10">'KPI Calculations'!G25</f>
        <v>4.6341463414634146E-2</v>
      </c>
      <c r="H10" s="22" cm="1">
        <f t="array" ref="H10">'KPI Calculations'!I25</f>
        <v>0.92197802197802203</v>
      </c>
      <c r="I10" s="22" cm="1">
        <f t="array" ref="I10">'KPI Calculations'!J25</f>
        <v>0.16666666666666666</v>
      </c>
      <c r="J10" s="20" cm="1">
        <f t="array" ref="J10">'KPI Calculations'!G15</f>
        <v>900000</v>
      </c>
      <c r="K10" s="27" t="str" cm="1">
        <f t="array" ref="K10">'KPI Calculations'!S15</f>
        <v>Eligibility and registration mismatches</v>
      </c>
      <c r="L10" s="42" t="s">
        <v>338</v>
      </c>
    </row>
    <row r="11" spans="1:12" ht="82.05" customHeight="1" x14ac:dyDescent="0.35">
      <c r="A11" s="26" t="str" cm="1">
        <f t="array" ref="A11">'KPI Calculations'!A26</f>
        <v>Feb</v>
      </c>
      <c r="B11" s="22" cm="1">
        <f t="array" ref="B11">'KPI Calculations'!B26</f>
        <v>0.51898734177215189</v>
      </c>
      <c r="C11" s="22" cm="1">
        <f t="array" ref="C11">'KPI Calculations'!C26</f>
        <v>0.83673469387755106</v>
      </c>
      <c r="D11" s="22" cm="1">
        <f t="array" ref="D11">'Payer Mix'!C29</f>
        <v>0.90949999999999998</v>
      </c>
      <c r="E11" s="22" cm="1">
        <f t="array" ref="E11">C11-D11</f>
        <v>-7.2765306122448914E-2</v>
      </c>
      <c r="F11" s="21" cm="1">
        <f t="array" ref="F11">'KPI Calculations'!F26</f>
        <v>33.727087576374743</v>
      </c>
      <c r="G11" s="22" cm="1">
        <f t="array" ref="G11">'KPI Calculations'!G26</f>
        <v>5.3164556962025315E-2</v>
      </c>
      <c r="H11" s="22" cm="1">
        <f t="array" ref="H11">'KPI Calculations'!I26</f>
        <v>0.91444759206798865</v>
      </c>
      <c r="I11" s="22" cm="1">
        <f t="array" ref="I11">'KPI Calculations'!J26</f>
        <v>0.17391304347826086</v>
      </c>
      <c r="J11" s="20" cm="1">
        <f t="array" ref="J11">'KPI Calculations'!G16</f>
        <v>920000</v>
      </c>
      <c r="K11" s="27" t="str" cm="1">
        <f t="array" ref="K11">'KPI Calculations'!S16</f>
        <v>Eligibility and prior authorization</v>
      </c>
      <c r="L11" s="42" t="s">
        <v>338</v>
      </c>
    </row>
    <row r="12" spans="1:12" ht="82.05" customHeight="1" x14ac:dyDescent="0.35">
      <c r="A12" s="26" t="str" cm="1">
        <f t="array" ref="A12">'KPI Calculations'!A27</f>
        <v>Mar</v>
      </c>
      <c r="B12" s="22" cm="1">
        <f t="array" ref="B12">'KPI Calculations'!B27</f>
        <v>0.4911242603550296</v>
      </c>
      <c r="C12" s="22" cm="1">
        <f t="array" ref="C12">'KPI Calculations'!C27</f>
        <v>0.81372549019607843</v>
      </c>
      <c r="D12" s="22" cm="1">
        <f t="array" ref="D12">'Payer Mix'!C30</f>
        <v>0.89470000000000005</v>
      </c>
      <c r="E12" s="22" cm="1">
        <f t="array" ref="E12">C12-D12</f>
        <v>-8.0974509803921624E-2</v>
      </c>
      <c r="F12" s="21" cm="1">
        <f t="array" ref="F12">'KPI Calculations'!F27</f>
        <v>34.460285132382893</v>
      </c>
      <c r="G12" s="22" cm="1">
        <f t="array" ref="G12">'KPI Calculations'!G27</f>
        <v>6.0355029585798817E-2</v>
      </c>
      <c r="H12" s="22" cm="1">
        <f t="array" ref="H12">'KPI Calculations'!I27</f>
        <v>0.90594594594594591</v>
      </c>
      <c r="I12" s="22" cm="1">
        <f t="array" ref="I12">'KPI Calculations'!J27</f>
        <v>0.18617021276595744</v>
      </c>
      <c r="J12" s="20" cm="1">
        <f t="array" ref="J12">'KPI Calculations'!G17</f>
        <v>940000</v>
      </c>
      <c r="K12" s="27" t="str" cm="1">
        <f t="array" ref="K12">'KPI Calculations'!S17</f>
        <v>Coding edits and missing documentation</v>
      </c>
      <c r="L12" s="42" t="s">
        <v>338</v>
      </c>
    </row>
    <row r="13" spans="1:12" ht="82.05" customHeight="1" x14ac:dyDescent="0.35">
      <c r="A13" s="26" t="str" cm="1">
        <f t="array" ref="A13">'KPI Calculations'!A28</f>
        <v>Apr</v>
      </c>
      <c r="B13" s="22" cm="1">
        <f t="array" ref="B13">'KPI Calculations'!B28</f>
        <v>0.48275862068965519</v>
      </c>
      <c r="C13" s="22" cm="1">
        <f t="array" ref="C13">'KPI Calculations'!C28</f>
        <v>0.80769230769230771</v>
      </c>
      <c r="D13" s="22" cm="1">
        <f t="array" ref="D13">'Payer Mix'!C31</f>
        <v>0.89470000000000005</v>
      </c>
      <c r="E13" s="22" cm="1">
        <f t="array" ref="E13">C13-D13</f>
        <v>-8.7007692307692341E-2</v>
      </c>
      <c r="F13" s="21" cm="1">
        <f t="array" ref="F13">'KPI Calculations'!F28</f>
        <v>33.592814371257489</v>
      </c>
      <c r="G13" s="22" cm="1">
        <f t="array" ref="G13">'KPI Calculations'!G28</f>
        <v>6.4367816091954022E-2</v>
      </c>
      <c r="H13" s="22" cm="1">
        <f t="array" ref="H13">'KPI Calculations'!I28</f>
        <v>0.90078740157480319</v>
      </c>
      <c r="I13" s="22" cm="1">
        <f t="array" ref="I13">'KPI Calculations'!J28</f>
        <v>0.19786096256684493</v>
      </c>
      <c r="J13" s="20" cm="1">
        <f t="array" ref="J13">'KPI Calculations'!G18</f>
        <v>935000</v>
      </c>
      <c r="K13" s="27" t="str" cm="1">
        <f t="array" ref="K13">'KPI Calculations'!S18</f>
        <v>Eligibility process transition errors</v>
      </c>
      <c r="L13" s="42" t="s">
        <v>338</v>
      </c>
    </row>
    <row r="14" spans="1:12" ht="82.05" customHeight="1" x14ac:dyDescent="0.35">
      <c r="A14" s="26" t="str" cm="1">
        <f t="array" ref="A14">'KPI Calculations'!A29</f>
        <v>May</v>
      </c>
      <c r="B14" s="22" cm="1">
        <f t="array" ref="B14">'KPI Calculations'!B29</f>
        <v>0.4943820224719101</v>
      </c>
      <c r="C14" s="22" cm="1">
        <f t="array" ref="C14">'KPI Calculations'!C29</f>
        <v>0.82242990654205606</v>
      </c>
      <c r="D14" s="22" cm="1">
        <f t="array" ref="D14">'Payer Mix'!C32</f>
        <v>0.89470000000000005</v>
      </c>
      <c r="E14" s="22" cm="1">
        <f t="array" ref="E14">C14-D14</f>
        <v>-7.2270093457943996E-2</v>
      </c>
      <c r="F14" s="21" cm="1">
        <f t="array" ref="F14">'KPI Calculations'!F29</f>
        <v>31.612284069097889</v>
      </c>
      <c r="G14" s="22" cm="1">
        <f t="array" ref="G14">'KPI Calculations'!G29</f>
        <v>7.0786516853932585E-2</v>
      </c>
      <c r="H14" s="22" cm="1">
        <f t="array" ref="H14">'KPI Calculations'!I29</f>
        <v>0.89435897435897438</v>
      </c>
      <c r="I14" s="22" cm="1">
        <f t="array" ref="I14">'KPI Calculations'!J29</f>
        <v>0.20765027322404372</v>
      </c>
      <c r="J14" s="20" cm="1">
        <f t="array" ref="J14">'KPI Calculations'!G19</f>
        <v>915000</v>
      </c>
      <c r="K14" s="27" t="str" cm="1">
        <f t="array" ref="K14">'KPI Calculations'!S19</f>
        <v>Billing vacancy and payer follow-up delays</v>
      </c>
      <c r="L14" s="42" t="s">
        <v>338</v>
      </c>
    </row>
    <row r="15" spans="1:12" ht="82.05" customHeight="1" x14ac:dyDescent="0.35">
      <c r="A15" s="26" t="str" cm="1">
        <f t="array" ref="A15">'KPI Calculations'!A30</f>
        <v>Jun</v>
      </c>
      <c r="B15" s="22" cm="1">
        <f t="array" ref="B15">'KPI Calculations'!B30</f>
        <v>0.49171270718232046</v>
      </c>
      <c r="C15" s="22" cm="1">
        <f t="array" ref="C15">'KPI Calculations'!C30</f>
        <v>0.8165137614678899</v>
      </c>
      <c r="D15" s="22" cm="1">
        <f t="array" ref="D15">'Payer Mix'!C33</f>
        <v>0.89470000000000005</v>
      </c>
      <c r="E15" s="22" cm="1">
        <f t="array" ref="E15">C15-D15</f>
        <v>-7.8186238532110153E-2</v>
      </c>
      <c r="F15" s="21" cm="1">
        <f t="array" ref="F15">'KPI Calculations'!F30</f>
        <v>31.069418386491559</v>
      </c>
      <c r="G15" s="22" cm="1">
        <f t="array" ref="G15">'KPI Calculations'!G30</f>
        <v>7.5138121546961326E-2</v>
      </c>
      <c r="H15" s="22" cm="1">
        <f t="array" ref="H15">'KPI Calculations'!I30</f>
        <v>0.89017632241813605</v>
      </c>
      <c r="I15" s="22" cm="1">
        <f t="array" ref="I15">'KPI Calculations'!J30</f>
        <v>0.21739130434782608</v>
      </c>
      <c r="J15" s="20" cm="1">
        <f t="array" ref="J15">'KPI Calculations'!G20</f>
        <v>920000</v>
      </c>
      <c r="K15" s="27" t="str" cm="1">
        <f t="array" ref="K15">'KPI Calculations'!S20</f>
        <v>Eligibility, coding, and untimely follow-up</v>
      </c>
      <c r="L15" s="42" t="s">
        <v>338</v>
      </c>
    </row>
    <row r="16" spans="1:12" ht="30" customHeight="1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9"/>
    </row>
    <row r="17" spans="1:12" ht="30" customHeight="1" x14ac:dyDescent="0.35">
      <c r="A17" s="6"/>
      <c r="B17" s="7"/>
      <c r="C17" s="7"/>
      <c r="D17" s="7"/>
      <c r="E17" s="7"/>
      <c r="F17" s="7"/>
      <c r="G17" s="8"/>
      <c r="H17" s="8"/>
      <c r="I17" s="8"/>
      <c r="J17" s="8"/>
      <c r="K17" s="8"/>
      <c r="L17" s="9"/>
    </row>
    <row r="18" spans="1:12" ht="30" customHeight="1" x14ac:dyDescent="0.35">
      <c r="A18" s="10" t="s">
        <v>135</v>
      </c>
      <c r="B18" s="11"/>
      <c r="C18" s="11"/>
      <c r="D18" s="11"/>
      <c r="E18" s="11"/>
      <c r="F18" s="11"/>
      <c r="G18" s="43"/>
      <c r="H18" s="8"/>
      <c r="I18" s="8"/>
      <c r="J18" s="8"/>
      <c r="K18" s="8"/>
      <c r="L18" s="9"/>
    </row>
    <row r="19" spans="1:12" ht="30" customHeight="1" x14ac:dyDescent="0.35">
      <c r="A19" s="10" t="s">
        <v>136</v>
      </c>
      <c r="B19" s="10" t="s">
        <v>137</v>
      </c>
      <c r="C19" s="10" t="s">
        <v>138</v>
      </c>
      <c r="D19" s="10" t="s">
        <v>135</v>
      </c>
      <c r="E19" s="10" t="s">
        <v>139</v>
      </c>
      <c r="F19" s="10" t="s">
        <v>140</v>
      </c>
      <c r="G19" s="44" t="s">
        <v>134</v>
      </c>
      <c r="H19" s="8"/>
      <c r="I19" s="8"/>
      <c r="J19" s="8"/>
      <c r="K19" s="8"/>
      <c r="L19" s="9"/>
    </row>
    <row r="20" spans="1:12" ht="64.05" customHeight="1" x14ac:dyDescent="0.35">
      <c r="A20" s="14" t="s">
        <v>141</v>
      </c>
      <c r="B20" s="26" t="str" cm="1">
        <f t="array" ref="B20">'KPI Calculations'!B46</f>
        <v>Stable</v>
      </c>
      <c r="C20" s="14" t="s">
        <v>142</v>
      </c>
      <c r="D20" s="14" t="s">
        <v>143</v>
      </c>
      <c r="E20" s="22" cm="1">
        <f t="array" ref="E20">('KPI Calculations'!G20/'KPI Calculations'!G15)-1</f>
        <v>2.2222222222222143E-2</v>
      </c>
      <c r="F20" s="27" t="str" cm="1">
        <f t="array" ref="F20">IF(B20="Stable","No major deviation","Review")</f>
        <v>No major deviation</v>
      </c>
      <c r="G20" s="45" t="s">
        <v>144</v>
      </c>
      <c r="H20" s="8"/>
      <c r="I20" s="8"/>
      <c r="J20" s="8"/>
      <c r="K20" s="8"/>
      <c r="L20" s="9"/>
    </row>
    <row r="21" spans="1:12" ht="64.05" customHeight="1" x14ac:dyDescent="0.35">
      <c r="A21" s="14" t="s">
        <v>12</v>
      </c>
      <c r="B21" s="26" t="str" cm="1">
        <f t="array" ref="B21">'KPI Calculations'!B49</f>
        <v>Improving</v>
      </c>
      <c r="C21" s="14" t="s">
        <v>145</v>
      </c>
      <c r="D21" s="14" t="s">
        <v>146</v>
      </c>
      <c r="E21" s="22" cm="1">
        <f t="array" ref="E21">('KPI Calculations'!B48/'KPI Calculations'!B47)-1</f>
        <v>-4.8494610266065608E-2</v>
      </c>
      <c r="F21" s="27" t="str" cm="1">
        <f t="array" ref="F21">IF(B21="Worsening","Deviation","No worsening flag")</f>
        <v>No worsening flag</v>
      </c>
      <c r="G21" s="45" t="s">
        <v>147</v>
      </c>
      <c r="H21" s="8"/>
      <c r="I21" s="8"/>
      <c r="J21" s="8"/>
      <c r="K21" s="8"/>
      <c r="L21" s="9"/>
    </row>
    <row r="22" spans="1:12" ht="64.05" customHeight="1" x14ac:dyDescent="0.35">
      <c r="A22" s="14" t="s">
        <v>129</v>
      </c>
      <c r="B22" s="26" t="str" cm="1">
        <f t="array" ref="B22">'KPI Calculations'!D50</f>
        <v>Significant problem</v>
      </c>
      <c r="C22" s="14" t="s">
        <v>148</v>
      </c>
      <c r="D22" s="14" t="s">
        <v>149</v>
      </c>
      <c r="E22" s="22" cm="1">
        <f t="array" ref="E22">'KPI Calculations'!B50</f>
        <v>6.2109375000000001E-2</v>
      </c>
      <c r="F22" s="27" t="str" cm="1">
        <f t="array" ref="F22">IF(B22="Significant problem","Deviation","Within threshold")</f>
        <v>Deviation</v>
      </c>
      <c r="G22" s="45" t="s">
        <v>339</v>
      </c>
      <c r="H22" s="8"/>
      <c r="I22" s="8"/>
      <c r="J22" s="8"/>
      <c r="K22" s="8"/>
      <c r="L22" s="9"/>
    </row>
    <row r="23" spans="1:12" ht="64.05" customHeight="1" x14ac:dyDescent="0.35">
      <c r="A23" s="14" t="s">
        <v>150</v>
      </c>
      <c r="B23" s="26" t="str" cm="1">
        <f t="array" ref="B23">'KPI Calculations'!D53</f>
        <v>Above benchmark</v>
      </c>
      <c r="C23" s="14" t="s">
        <v>151</v>
      </c>
      <c r="D23" s="14" t="s">
        <v>152</v>
      </c>
      <c r="E23" s="22" cm="1">
        <f t="array" ref="E23">'KPI Calculations'!B53</f>
        <v>0.21739130434782608</v>
      </c>
      <c r="F23" s="27" t="str" cm="1">
        <f t="array" ref="F23">IF(B23="Within benchmark","Within","Deviation")</f>
        <v>Deviation</v>
      </c>
      <c r="G23" s="46" t="s">
        <v>153</v>
      </c>
      <c r="H23" s="47"/>
      <c r="I23" s="47"/>
      <c r="J23" s="47"/>
      <c r="K23" s="47"/>
      <c r="L23" s="48"/>
    </row>
  </sheetData>
  <mergeCells count="2">
    <mergeCell ref="A1:J1"/>
    <mergeCell ref="A2:L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showGridLines="0" topLeftCell="A18" workbookViewId="0">
      <selection sqref="A1:J1"/>
    </sheetView>
  </sheetViews>
  <sheetFormatPr defaultColWidth="8.46484375" defaultRowHeight="15" customHeight="1" x14ac:dyDescent="0.35"/>
  <cols>
    <col min="1" max="1" width="20" style="1" customWidth="1"/>
    <col min="2" max="4" width="14" style="1" customWidth="1"/>
    <col min="5" max="5" width="52" style="1" customWidth="1"/>
    <col min="6" max="10" width="14" style="1" customWidth="1"/>
    <col min="11" max="11" width="56" style="1" customWidth="1"/>
    <col min="12" max="12" width="14" style="1" customWidth="1"/>
    <col min="13" max="13" width="8.46484375" style="1" customWidth="1"/>
    <col min="14" max="16384" width="8.46484375" style="1"/>
  </cols>
  <sheetData>
    <row r="1" spans="1:12" ht="24" customHeight="1" x14ac:dyDescent="0.35">
      <c r="A1" s="77" t="s">
        <v>154</v>
      </c>
      <c r="B1" s="78"/>
      <c r="C1" s="78"/>
      <c r="D1" s="78"/>
      <c r="E1" s="78"/>
      <c r="F1" s="78"/>
      <c r="G1" s="78"/>
      <c r="H1" s="78"/>
      <c r="I1" s="78"/>
      <c r="J1" s="78"/>
      <c r="K1" s="2"/>
      <c r="L1" s="3"/>
    </row>
    <row r="2" spans="1:12" ht="36" customHeight="1" x14ac:dyDescent="0.35">
      <c r="A2" s="80" t="s">
        <v>155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2"/>
    </row>
    <row r="3" spans="1:12" ht="30" customHeight="1" x14ac:dyDescent="0.3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9"/>
    </row>
    <row r="4" spans="1:12" ht="30" customHeight="1" x14ac:dyDescent="0.35">
      <c r="A4" s="10" t="s">
        <v>156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40"/>
    </row>
    <row r="5" spans="1:12" ht="30" customHeight="1" x14ac:dyDescent="0.35">
      <c r="A5" s="10" t="s">
        <v>157</v>
      </c>
      <c r="B5" s="10" t="s">
        <v>158</v>
      </c>
      <c r="C5" s="10" t="s">
        <v>159</v>
      </c>
      <c r="D5" s="10" t="s">
        <v>160</v>
      </c>
      <c r="E5" s="10" t="s">
        <v>161</v>
      </c>
      <c r="F5" s="10" t="s">
        <v>162</v>
      </c>
      <c r="G5" s="10" t="s">
        <v>163</v>
      </c>
      <c r="H5" s="10" t="s">
        <v>164</v>
      </c>
      <c r="I5" s="10" t="s">
        <v>165</v>
      </c>
      <c r="J5" s="10" t="s">
        <v>166</v>
      </c>
      <c r="K5" s="10" t="s">
        <v>167</v>
      </c>
      <c r="L5" s="41" t="s">
        <v>134</v>
      </c>
    </row>
    <row r="6" spans="1:12" ht="84" customHeight="1" x14ac:dyDescent="0.35">
      <c r="A6" s="14" t="s">
        <v>168</v>
      </c>
      <c r="B6" s="22">
        <v>0.38</v>
      </c>
      <c r="C6" s="22">
        <v>0.93</v>
      </c>
      <c r="D6" s="22">
        <v>0.94</v>
      </c>
      <c r="E6" s="22">
        <v>0.92500000000000004</v>
      </c>
      <c r="F6" s="20">
        <v>611800</v>
      </c>
      <c r="G6" s="20">
        <v>1333800</v>
      </c>
      <c r="H6" s="19">
        <v>46082</v>
      </c>
      <c r="I6" s="22" cm="1">
        <f t="array" ref="I6">((D6*F6)+(E6*G6))/(F6+G6)</f>
        <v>0.92971679687499997</v>
      </c>
      <c r="J6" s="22" cm="1">
        <f t="array" ref="J6">B6*I6</f>
        <v>0.35329238281249997</v>
      </c>
      <c r="K6" s="14" t="s">
        <v>169</v>
      </c>
      <c r="L6" s="42" t="s">
        <v>170</v>
      </c>
    </row>
    <row r="7" spans="1:12" ht="84" customHeight="1" x14ac:dyDescent="0.35">
      <c r="A7" s="14" t="s">
        <v>171</v>
      </c>
      <c r="B7" s="22">
        <v>0.34</v>
      </c>
      <c r="C7" s="22">
        <v>0.96</v>
      </c>
      <c r="D7" s="22">
        <v>0.96499999999999997</v>
      </c>
      <c r="E7" s="22">
        <v>0.95499999999999996</v>
      </c>
      <c r="F7" s="20">
        <v>547400</v>
      </c>
      <c r="G7" s="20">
        <v>1193400</v>
      </c>
      <c r="H7" s="19">
        <v>46082</v>
      </c>
      <c r="I7" s="22" cm="1">
        <f t="array" ref="I7">((D7*F7)+(E7*G7))/(F7+G7)</f>
        <v>0.95814453124999999</v>
      </c>
      <c r="J7" s="22" cm="1">
        <f t="array" ref="J7">B7*I7</f>
        <v>0.32576914062500001</v>
      </c>
      <c r="K7" s="14" t="s">
        <v>172</v>
      </c>
      <c r="L7" s="42" t="s">
        <v>170</v>
      </c>
    </row>
    <row r="8" spans="1:12" ht="84" customHeight="1" x14ac:dyDescent="0.35">
      <c r="A8" s="14" t="s">
        <v>173</v>
      </c>
      <c r="B8" s="22">
        <v>0.18</v>
      </c>
      <c r="C8" s="22">
        <v>0.88</v>
      </c>
      <c r="D8" s="22">
        <v>0.89</v>
      </c>
      <c r="E8" s="22">
        <v>0.875</v>
      </c>
      <c r="F8" s="20">
        <v>289800</v>
      </c>
      <c r="G8" s="20">
        <v>631800</v>
      </c>
      <c r="H8" s="19">
        <v>46082</v>
      </c>
      <c r="I8" s="22" cm="1">
        <f t="array" ref="I8">((D8*F8)+(E8*G8))/(F8+G8)</f>
        <v>0.87971679687500004</v>
      </c>
      <c r="J8" s="22" cm="1">
        <f t="array" ref="J8">B8*I8</f>
        <v>0.15834902343750001</v>
      </c>
      <c r="K8" s="14" t="s">
        <v>174</v>
      </c>
      <c r="L8" s="42" t="s">
        <v>170</v>
      </c>
    </row>
    <row r="9" spans="1:12" ht="84" customHeight="1" x14ac:dyDescent="0.35">
      <c r="A9" s="14" t="s">
        <v>175</v>
      </c>
      <c r="B9" s="22">
        <v>0.1</v>
      </c>
      <c r="C9" s="22">
        <v>0.62</v>
      </c>
      <c r="D9" s="22">
        <v>0.64</v>
      </c>
      <c r="E9" s="22">
        <v>0.61</v>
      </c>
      <c r="F9" s="20">
        <v>161000</v>
      </c>
      <c r="G9" s="20">
        <v>351000</v>
      </c>
      <c r="H9" s="19">
        <v>46082</v>
      </c>
      <c r="I9" s="22" cm="1">
        <f t="array" ref="I9">((D9*F9)+(E9*G9))/(F9+G9)</f>
        <v>0.61943359374999996</v>
      </c>
      <c r="J9" s="22" cm="1">
        <f t="array" ref="J9">B9*I9</f>
        <v>6.1943359375E-2</v>
      </c>
      <c r="K9" s="14" t="s">
        <v>176</v>
      </c>
      <c r="L9" s="42" t="s">
        <v>170</v>
      </c>
    </row>
    <row r="10" spans="1:12" ht="30" customHeight="1" x14ac:dyDescent="0.3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9"/>
    </row>
    <row r="11" spans="1:12" ht="30" customHeight="1" x14ac:dyDescent="0.35">
      <c r="A11" s="6"/>
      <c r="B11" s="7"/>
      <c r="C11" s="7"/>
      <c r="D11" s="7"/>
      <c r="E11" s="7"/>
      <c r="F11" s="8"/>
      <c r="G11" s="8"/>
      <c r="H11" s="8"/>
      <c r="I11" s="8"/>
      <c r="J11" s="8"/>
      <c r="K11" s="8"/>
      <c r="L11" s="9"/>
    </row>
    <row r="12" spans="1:12" ht="30" customHeight="1" x14ac:dyDescent="0.35">
      <c r="A12" s="10" t="s">
        <v>177</v>
      </c>
      <c r="B12" s="11"/>
      <c r="C12" s="11"/>
      <c r="D12" s="11"/>
      <c r="E12" s="11"/>
      <c r="F12" s="12"/>
      <c r="G12" s="8"/>
      <c r="H12" s="8"/>
      <c r="I12" s="8"/>
      <c r="J12" s="8"/>
      <c r="K12" s="8"/>
      <c r="L12" s="9"/>
    </row>
    <row r="13" spans="1:12" ht="30" customHeight="1" x14ac:dyDescent="0.35">
      <c r="A13" s="10" t="s">
        <v>3</v>
      </c>
      <c r="B13" s="10" t="s">
        <v>67</v>
      </c>
      <c r="C13" s="10" t="s">
        <v>135</v>
      </c>
      <c r="D13" s="10" t="s">
        <v>69</v>
      </c>
      <c r="E13" s="10" t="s">
        <v>178</v>
      </c>
      <c r="F13" s="12"/>
      <c r="G13" s="8"/>
      <c r="H13" s="8"/>
      <c r="I13" s="8"/>
      <c r="J13" s="8"/>
      <c r="K13" s="8"/>
      <c r="L13" s="9"/>
    </row>
    <row r="14" spans="1:12" ht="54" customHeight="1" x14ac:dyDescent="0.35">
      <c r="A14" s="14" t="s">
        <v>179</v>
      </c>
      <c r="B14" s="22" cm="1">
        <f t="array" ref="B14">SUMPRODUCT(B6:B9,D6:D9)</f>
        <v>0.90949999999999998</v>
      </c>
      <c r="C14" s="14" t="s">
        <v>180</v>
      </c>
      <c r="D14" s="14" t="s">
        <v>73</v>
      </c>
      <c r="E14" s="14" t="s">
        <v>181</v>
      </c>
      <c r="F14" s="12"/>
      <c r="G14" s="8"/>
      <c r="H14" s="8"/>
      <c r="I14" s="8"/>
      <c r="J14" s="8"/>
      <c r="K14" s="8"/>
      <c r="L14" s="9"/>
    </row>
    <row r="15" spans="1:12" ht="54" customHeight="1" x14ac:dyDescent="0.35">
      <c r="A15" s="14" t="s">
        <v>182</v>
      </c>
      <c r="B15" s="22" cm="1">
        <f t="array" ref="B15">SUMPRODUCT(B6:B9,E6:E9)</f>
        <v>0.89470000000000005</v>
      </c>
      <c r="C15" s="14" t="s">
        <v>183</v>
      </c>
      <c r="D15" s="14" t="s">
        <v>73</v>
      </c>
      <c r="E15" s="14" t="s">
        <v>184</v>
      </c>
      <c r="F15" s="12"/>
      <c r="G15" s="8"/>
      <c r="H15" s="8"/>
      <c r="I15" s="8"/>
      <c r="J15" s="8"/>
      <c r="K15" s="8"/>
      <c r="L15" s="9"/>
    </row>
    <row r="16" spans="1:12" ht="54" customHeight="1" x14ac:dyDescent="0.35">
      <c r="A16" s="14" t="s">
        <v>185</v>
      </c>
      <c r="B16" s="22" cm="1">
        <f t="array" ref="B16">SUM(J6:J9)</f>
        <v>0.89935390624999989</v>
      </c>
      <c r="C16" s="14" t="s">
        <v>186</v>
      </c>
      <c r="D16" s="27" t="str" cm="1">
        <f t="array" ref="D16">IF(B16&gt;=0.95,"At/above 95.0% benchmark","Below 95.0% benchmark")</f>
        <v>Below 95.0% benchmark</v>
      </c>
      <c r="E16" s="14" t="s">
        <v>187</v>
      </c>
      <c r="F16" s="12"/>
      <c r="G16" s="8"/>
      <c r="H16" s="8"/>
      <c r="I16" s="8"/>
      <c r="J16" s="8"/>
      <c r="K16" s="8"/>
      <c r="L16" s="9"/>
    </row>
    <row r="17" spans="1:12" ht="54" customHeight="1" x14ac:dyDescent="0.35">
      <c r="A17" s="14" t="s">
        <v>77</v>
      </c>
      <c r="B17" s="20" cm="1">
        <f t="array" ref="B17">'KPI Calculations'!B37</f>
        <v>3100000</v>
      </c>
      <c r="C17" s="14" t="s">
        <v>188</v>
      </c>
      <c r="D17" s="14" t="s">
        <v>73</v>
      </c>
      <c r="E17" s="14" t="s">
        <v>189</v>
      </c>
      <c r="F17" s="12"/>
      <c r="G17" s="8"/>
      <c r="H17" s="8"/>
      <c r="I17" s="8"/>
      <c r="J17" s="8"/>
      <c r="K17" s="8"/>
      <c r="L17" s="9"/>
    </row>
    <row r="18" spans="1:12" ht="54" customHeight="1" x14ac:dyDescent="0.35">
      <c r="A18" s="14" t="s">
        <v>190</v>
      </c>
      <c r="B18" s="20" cm="1">
        <f t="array" ref="B18">B16*B17</f>
        <v>2787997.1093749995</v>
      </c>
      <c r="C18" s="14" t="s">
        <v>191</v>
      </c>
      <c r="D18" s="14" t="s">
        <v>73</v>
      </c>
      <c r="E18" s="14" t="s">
        <v>192</v>
      </c>
      <c r="F18" s="12"/>
      <c r="G18" s="8"/>
      <c r="H18" s="8"/>
      <c r="I18" s="8"/>
      <c r="J18" s="8"/>
      <c r="K18" s="8"/>
      <c r="L18" s="9"/>
    </row>
    <row r="19" spans="1:12" ht="54" customHeight="1" x14ac:dyDescent="0.35">
      <c r="A19" s="14" t="s">
        <v>193</v>
      </c>
      <c r="B19" s="20" cm="1">
        <f t="array" ref="B19">'KPI Calculations'!B38</f>
        <v>2565000</v>
      </c>
      <c r="C19" s="14" t="s">
        <v>194</v>
      </c>
      <c r="D19" s="14" t="s">
        <v>73</v>
      </c>
      <c r="E19" s="14" t="s">
        <v>195</v>
      </c>
      <c r="F19" s="12"/>
      <c r="G19" s="8"/>
      <c r="H19" s="8"/>
      <c r="I19" s="8"/>
      <c r="J19" s="8"/>
      <c r="K19" s="8"/>
      <c r="L19" s="9"/>
    </row>
    <row r="20" spans="1:12" ht="54" customHeight="1" x14ac:dyDescent="0.35">
      <c r="A20" s="14" t="s">
        <v>196</v>
      </c>
      <c r="B20" s="20" cm="1">
        <f t="array" ref="B20">B18-B19</f>
        <v>222997.10937499953</v>
      </c>
      <c r="C20" s="14" t="s">
        <v>197</v>
      </c>
      <c r="D20" s="27" t="str" cm="1">
        <f t="array" ref="D20">IF(B20&gt;0,"Under expected","At/above expected")</f>
        <v>Under expected</v>
      </c>
      <c r="E20" s="14" t="s">
        <v>198</v>
      </c>
      <c r="F20" s="12"/>
      <c r="G20" s="8"/>
      <c r="H20" s="8"/>
      <c r="I20" s="8"/>
      <c r="J20" s="8"/>
      <c r="K20" s="8"/>
      <c r="L20" s="9"/>
    </row>
    <row r="21" spans="1:12" ht="54" customHeight="1" x14ac:dyDescent="0.35">
      <c r="A21" s="14" t="s">
        <v>199</v>
      </c>
      <c r="B21" s="22" cm="1">
        <f t="array" ref="B21">B15-B14</f>
        <v>-1.4799999999999924E-2</v>
      </c>
      <c r="C21" s="14" t="s">
        <v>200</v>
      </c>
      <c r="D21" s="27" t="str" cm="1">
        <f t="array" ref="D21">IF(B21&lt;0,"Expected rate declined","Expected rate improved/flat")</f>
        <v>Expected rate declined</v>
      </c>
      <c r="E21" s="14" t="s">
        <v>201</v>
      </c>
      <c r="F21" s="12"/>
      <c r="G21" s="8"/>
      <c r="H21" s="8"/>
      <c r="I21" s="8"/>
      <c r="J21" s="8"/>
      <c r="K21" s="8"/>
      <c r="L21" s="9"/>
    </row>
    <row r="22" spans="1:12" ht="54" customHeight="1" x14ac:dyDescent="0.35">
      <c r="A22" s="14" t="s">
        <v>202</v>
      </c>
      <c r="B22" s="22" cm="1">
        <f t="array" ref="B22">(SUM(J6:J7))/(SUM(B6:B7))</f>
        <v>0.94314100477430551</v>
      </c>
      <c r="C22" s="14" t="s">
        <v>203</v>
      </c>
      <c r="D22" s="14" t="s">
        <v>73</v>
      </c>
      <c r="E22" s="14" t="s">
        <v>204</v>
      </c>
      <c r="F22" s="12"/>
      <c r="G22" s="8"/>
      <c r="H22" s="8"/>
      <c r="I22" s="8"/>
      <c r="J22" s="8"/>
      <c r="K22" s="8"/>
      <c r="L22" s="9"/>
    </row>
    <row r="23" spans="1:12" ht="54" customHeight="1" x14ac:dyDescent="0.35">
      <c r="A23" s="14" t="s">
        <v>205</v>
      </c>
      <c r="B23" s="22" cm="1">
        <f t="array" ref="B23">B22-B16</f>
        <v>4.3787098524305623E-2</v>
      </c>
      <c r="C23" s="14" t="s">
        <v>206</v>
      </c>
      <c r="D23" s="27" t="str" cm="1">
        <f t="array" ref="D23">IF(B23&gt;0,"Lower-yield mix depresses expected collections","No drag")</f>
        <v>Lower-yield mix depresses expected collections</v>
      </c>
      <c r="E23" s="14" t="s">
        <v>207</v>
      </c>
      <c r="F23" s="12"/>
      <c r="G23" s="8"/>
      <c r="H23" s="8"/>
      <c r="I23" s="8"/>
      <c r="J23" s="8"/>
      <c r="K23" s="8"/>
      <c r="L23" s="9"/>
    </row>
    <row r="24" spans="1:12" ht="30" customHeight="1" x14ac:dyDescent="0.35">
      <c r="A24" s="23"/>
      <c r="B24" s="24"/>
      <c r="C24" s="24"/>
      <c r="D24" s="24"/>
      <c r="E24" s="24"/>
      <c r="F24" s="8"/>
      <c r="G24" s="8"/>
      <c r="H24" s="8"/>
      <c r="I24" s="8"/>
      <c r="J24" s="8"/>
      <c r="K24" s="8"/>
      <c r="L24" s="9"/>
    </row>
    <row r="25" spans="1:12" ht="30" customHeight="1" x14ac:dyDescent="0.35">
      <c r="A25" s="6"/>
      <c r="B25" s="7"/>
      <c r="C25" s="7"/>
      <c r="D25" s="7"/>
      <c r="E25" s="7"/>
      <c r="F25" s="7"/>
      <c r="G25" s="7"/>
      <c r="H25" s="8"/>
      <c r="I25" s="8"/>
      <c r="J25" s="8"/>
      <c r="K25" s="8"/>
      <c r="L25" s="9"/>
    </row>
    <row r="26" spans="1:12" ht="30" customHeight="1" x14ac:dyDescent="0.35">
      <c r="A26" s="10" t="s">
        <v>208</v>
      </c>
      <c r="B26" s="11"/>
      <c r="C26" s="11"/>
      <c r="D26" s="11"/>
      <c r="E26" s="11"/>
      <c r="F26" s="11"/>
      <c r="G26" s="11"/>
      <c r="H26" s="12"/>
      <c r="I26" s="8"/>
      <c r="J26" s="8"/>
      <c r="K26" s="8"/>
      <c r="L26" s="9"/>
    </row>
    <row r="27" spans="1:12" ht="30" customHeight="1" x14ac:dyDescent="0.35">
      <c r="A27" s="10" t="s">
        <v>24</v>
      </c>
      <c r="B27" s="10" t="s">
        <v>25</v>
      </c>
      <c r="C27" s="10" t="s">
        <v>209</v>
      </c>
      <c r="D27" s="10" t="s">
        <v>28</v>
      </c>
      <c r="E27" s="10" t="s">
        <v>210</v>
      </c>
      <c r="F27" s="10" t="s">
        <v>211</v>
      </c>
      <c r="G27" s="10" t="s">
        <v>212</v>
      </c>
      <c r="H27" s="12"/>
      <c r="I27" s="8"/>
      <c r="J27" s="8"/>
      <c r="K27" s="8"/>
      <c r="L27" s="9"/>
    </row>
    <row r="28" spans="1:12" ht="32" customHeight="1" x14ac:dyDescent="0.35">
      <c r="A28" s="26" t="str" cm="1">
        <f t="array" ref="A28">'KPI Calculations'!A15</f>
        <v>Jan</v>
      </c>
      <c r="B28" s="19" cm="1">
        <f t="array" ref="B28">'KPI Calculations'!B15</f>
        <v>46053</v>
      </c>
      <c r="C28" s="22" cm="1">
        <f t="array" ref="C28">IF(B28&lt;DATE(2026,3,1),$B$14,$B$15)</f>
        <v>0.90949999999999998</v>
      </c>
      <c r="D28" s="20" cm="1">
        <f t="array" ref="D28">'KPI Calculations'!E15</f>
        <v>500000</v>
      </c>
      <c r="E28" s="20" cm="1">
        <f t="array" ref="E28">C28*D28</f>
        <v>454750</v>
      </c>
      <c r="F28" s="20" cm="1">
        <f t="array" ref="F28">'KPI Calculations'!F15</f>
        <v>435000</v>
      </c>
      <c r="G28" s="20" cm="1">
        <f t="array" ref="G28">F28-E28</f>
        <v>-19750</v>
      </c>
      <c r="H28" s="12"/>
      <c r="I28" s="8"/>
      <c r="J28" s="8"/>
      <c r="K28" s="8"/>
      <c r="L28" s="9"/>
    </row>
    <row r="29" spans="1:12" ht="32" customHeight="1" x14ac:dyDescent="0.35">
      <c r="A29" s="26" t="str" cm="1">
        <f t="array" ref="A29">'KPI Calculations'!A16</f>
        <v>Feb</v>
      </c>
      <c r="B29" s="19" cm="1">
        <f t="array" ref="B29">'KPI Calculations'!B16</f>
        <v>46081</v>
      </c>
      <c r="C29" s="22" cm="1">
        <f t="array" ref="C29">IF(B29&lt;DATE(2026,3,1),$B$14,$B$15)</f>
        <v>0.90949999999999998</v>
      </c>
      <c r="D29" s="20" cm="1">
        <f t="array" ref="D29">'KPI Calculations'!E16</f>
        <v>490000</v>
      </c>
      <c r="E29" s="20" cm="1">
        <f t="array" ref="E29">C29*D29</f>
        <v>445655</v>
      </c>
      <c r="F29" s="20" cm="1">
        <f t="array" ref="F29">'KPI Calculations'!F16</f>
        <v>410000</v>
      </c>
      <c r="G29" s="20" cm="1">
        <f t="array" ref="G29">F29-E29</f>
        <v>-35655</v>
      </c>
      <c r="H29" s="12"/>
      <c r="I29" s="8"/>
      <c r="J29" s="8"/>
      <c r="K29" s="8"/>
      <c r="L29" s="9"/>
    </row>
    <row r="30" spans="1:12" ht="32" customHeight="1" x14ac:dyDescent="0.35">
      <c r="A30" s="26" t="str" cm="1">
        <f t="array" ref="A30">'KPI Calculations'!A17</f>
        <v>Mar</v>
      </c>
      <c r="B30" s="19" cm="1">
        <f t="array" ref="B30">'KPI Calculations'!B17</f>
        <v>46112</v>
      </c>
      <c r="C30" s="22" cm="1">
        <f t="array" ref="C30">IF(B30&lt;DATE(2026,3,1),$B$14,$B$15)</f>
        <v>0.89470000000000005</v>
      </c>
      <c r="D30" s="20" cm="1">
        <f t="array" ref="D30">'KPI Calculations'!E17</f>
        <v>510000</v>
      </c>
      <c r="E30" s="20" cm="1">
        <f t="array" ref="E30">C30*D30</f>
        <v>456297</v>
      </c>
      <c r="F30" s="20" cm="1">
        <f t="array" ref="F30">'KPI Calculations'!F17</f>
        <v>415000</v>
      </c>
      <c r="G30" s="20" cm="1">
        <f t="array" ref="G30">F30-E30</f>
        <v>-41297</v>
      </c>
      <c r="H30" s="12"/>
      <c r="I30" s="8"/>
      <c r="J30" s="8"/>
      <c r="K30" s="8"/>
      <c r="L30" s="9"/>
    </row>
    <row r="31" spans="1:12" ht="32" customHeight="1" x14ac:dyDescent="0.35">
      <c r="A31" s="26" t="str" cm="1">
        <f t="array" ref="A31">'KPI Calculations'!A18</f>
        <v>Apr</v>
      </c>
      <c r="B31" s="19" cm="1">
        <f t="array" ref="B31">'KPI Calculations'!B18</f>
        <v>46142</v>
      </c>
      <c r="C31" s="22" cm="1">
        <f t="array" ref="C31">IF(B31&lt;DATE(2026,3,1),$B$14,$B$15)</f>
        <v>0.89470000000000005</v>
      </c>
      <c r="D31" s="20" cm="1">
        <f t="array" ref="D31">'KPI Calculations'!E18</f>
        <v>520000</v>
      </c>
      <c r="E31" s="20" cm="1">
        <f t="array" ref="E31">C31*D31</f>
        <v>465244</v>
      </c>
      <c r="F31" s="20" cm="1">
        <f t="array" ref="F31">'KPI Calculations'!F18</f>
        <v>420000</v>
      </c>
      <c r="G31" s="20" cm="1">
        <f t="array" ref="G31">F31-E31</f>
        <v>-45244</v>
      </c>
      <c r="H31" s="12"/>
      <c r="I31" s="8"/>
      <c r="J31" s="8"/>
      <c r="K31" s="8"/>
      <c r="L31" s="9"/>
    </row>
    <row r="32" spans="1:12" ht="32" customHeight="1" x14ac:dyDescent="0.35">
      <c r="A32" s="26" t="str" cm="1">
        <f t="array" ref="A32">'KPI Calculations'!A19</f>
        <v>May</v>
      </c>
      <c r="B32" s="19" cm="1">
        <f t="array" ref="B32">'KPI Calculations'!B19</f>
        <v>46173</v>
      </c>
      <c r="C32" s="22" cm="1">
        <f t="array" ref="C32">IF(B32&lt;DATE(2026,3,1),$B$14,$B$15)</f>
        <v>0.89470000000000005</v>
      </c>
      <c r="D32" s="20" cm="1">
        <f t="array" ref="D32">'KPI Calculations'!E19</f>
        <v>535000</v>
      </c>
      <c r="E32" s="20" cm="1">
        <f t="array" ref="E32">C32*D32</f>
        <v>478664.5</v>
      </c>
      <c r="F32" s="20" cm="1">
        <f t="array" ref="F32">'KPI Calculations'!F19</f>
        <v>440000</v>
      </c>
      <c r="G32" s="20" cm="1">
        <f t="array" ref="G32">F32-E32</f>
        <v>-38664.5</v>
      </c>
      <c r="H32" s="12"/>
      <c r="I32" s="8"/>
      <c r="J32" s="8"/>
      <c r="K32" s="8"/>
      <c r="L32" s="9"/>
    </row>
    <row r="33" spans="1:12" ht="32" customHeight="1" x14ac:dyDescent="0.35">
      <c r="A33" s="26" t="str" cm="1">
        <f t="array" ref="A33">'KPI Calculations'!A20</f>
        <v>Jun</v>
      </c>
      <c r="B33" s="19" cm="1">
        <f t="array" ref="B33">'KPI Calculations'!B20</f>
        <v>46203</v>
      </c>
      <c r="C33" s="22" cm="1">
        <f t="array" ref="C33">IF(B33&lt;DATE(2026,3,1),$B$14,$B$15)</f>
        <v>0.89470000000000005</v>
      </c>
      <c r="D33" s="20" cm="1">
        <f t="array" ref="D33">'KPI Calculations'!E20</f>
        <v>545000</v>
      </c>
      <c r="E33" s="20" cm="1">
        <f t="array" ref="E33">C33*D33</f>
        <v>487611.5</v>
      </c>
      <c r="F33" s="20" cm="1">
        <f t="array" ref="F33">'KPI Calculations'!F20</f>
        <v>445000</v>
      </c>
      <c r="G33" s="20" cm="1">
        <f t="array" ref="G33">F33-E33</f>
        <v>-42611.5</v>
      </c>
      <c r="H33" s="49"/>
      <c r="I33" s="7"/>
      <c r="J33" s="7"/>
      <c r="K33" s="8"/>
      <c r="L33" s="9"/>
    </row>
    <row r="34" spans="1:12" ht="30" customHeight="1" x14ac:dyDescent="0.35">
      <c r="A34" s="10" t="s">
        <v>213</v>
      </c>
      <c r="B34" s="11"/>
      <c r="C34" s="11"/>
      <c r="D34" s="11"/>
      <c r="E34" s="11"/>
      <c r="F34" s="50"/>
      <c r="G34" s="10" t="s">
        <v>214</v>
      </c>
      <c r="H34" s="11"/>
      <c r="I34" s="11"/>
      <c r="J34" s="11"/>
      <c r="K34" s="43"/>
      <c r="L34" s="9"/>
    </row>
    <row r="35" spans="1:12" ht="30" customHeight="1" x14ac:dyDescent="0.35">
      <c r="A35" s="10" t="s">
        <v>215</v>
      </c>
      <c r="B35" s="10" t="s">
        <v>25</v>
      </c>
      <c r="C35" s="10" t="s">
        <v>157</v>
      </c>
      <c r="D35" s="10" t="s">
        <v>216</v>
      </c>
      <c r="E35" s="10" t="s">
        <v>217</v>
      </c>
      <c r="F35" s="51"/>
      <c r="G35" s="10" t="s">
        <v>24</v>
      </c>
      <c r="H35" s="10" t="s">
        <v>218</v>
      </c>
      <c r="I35" s="10" t="s">
        <v>219</v>
      </c>
      <c r="J35" s="10" t="s">
        <v>220</v>
      </c>
      <c r="K35" s="44" t="s">
        <v>134</v>
      </c>
      <c r="L35" s="9"/>
    </row>
    <row r="36" spans="1:12" ht="54" customHeight="1" x14ac:dyDescent="0.35">
      <c r="A36" s="14" t="s">
        <v>44</v>
      </c>
      <c r="B36" s="19">
        <v>46053</v>
      </c>
      <c r="C36" s="14" t="s">
        <v>168</v>
      </c>
      <c r="D36" s="20">
        <v>165300</v>
      </c>
      <c r="E36" s="14" t="s">
        <v>221</v>
      </c>
      <c r="F36" s="52"/>
      <c r="G36" s="26" t="str" cm="1">
        <f t="array" ref="G36">'KPI Calculations'!A15</f>
        <v>Jan</v>
      </c>
      <c r="H36" s="20" cm="1">
        <f t="array" ref="H36">SUMIF($A$36:$A$59,G36,$D$36:$D$59)</f>
        <v>435000</v>
      </c>
      <c r="I36" s="20" cm="1">
        <f t="array" ref="I36">'KPI Calculations'!N15</f>
        <v>435000</v>
      </c>
      <c r="J36" s="20" cm="1">
        <f t="array" ref="J36">H36-I36</f>
        <v>0</v>
      </c>
      <c r="K36" s="45" t="s">
        <v>222</v>
      </c>
      <c r="L36" s="9"/>
    </row>
    <row r="37" spans="1:12" ht="54" customHeight="1" x14ac:dyDescent="0.35">
      <c r="A37" s="14" t="s">
        <v>44</v>
      </c>
      <c r="B37" s="19">
        <v>46053</v>
      </c>
      <c r="C37" s="14" t="s">
        <v>171</v>
      </c>
      <c r="D37" s="20">
        <v>147900</v>
      </c>
      <c r="E37" s="14" t="s">
        <v>221</v>
      </c>
      <c r="F37" s="52"/>
      <c r="G37" s="26" t="str" cm="1">
        <f t="array" ref="G37">'KPI Calculations'!A16</f>
        <v>Feb</v>
      </c>
      <c r="H37" s="20" cm="1">
        <f t="array" ref="H37">SUMIF($A$36:$A$59,G37,$D$36:$D$59)</f>
        <v>410000</v>
      </c>
      <c r="I37" s="20" cm="1">
        <f t="array" ref="I37">'KPI Calculations'!N16</f>
        <v>410000</v>
      </c>
      <c r="J37" s="20" cm="1">
        <f t="array" ref="J37">H37-I37</f>
        <v>0</v>
      </c>
      <c r="K37" s="45" t="s">
        <v>222</v>
      </c>
      <c r="L37" s="9"/>
    </row>
    <row r="38" spans="1:12" ht="54" customHeight="1" x14ac:dyDescent="0.35">
      <c r="A38" s="14" t="s">
        <v>44</v>
      </c>
      <c r="B38" s="19">
        <v>46053</v>
      </c>
      <c r="C38" s="14" t="s">
        <v>173</v>
      </c>
      <c r="D38" s="20">
        <v>78300</v>
      </c>
      <c r="E38" s="14" t="s">
        <v>221</v>
      </c>
      <c r="F38" s="52"/>
      <c r="G38" s="26" t="str" cm="1">
        <f t="array" ref="G38">'KPI Calculations'!A17</f>
        <v>Mar</v>
      </c>
      <c r="H38" s="20" cm="1">
        <f t="array" ref="H38">SUMIF($A$36:$A$59,G38,$D$36:$D$59)</f>
        <v>415000</v>
      </c>
      <c r="I38" s="20" cm="1">
        <f t="array" ref="I38">'KPI Calculations'!N17</f>
        <v>415000</v>
      </c>
      <c r="J38" s="20" cm="1">
        <f t="array" ref="J38">H38-I38</f>
        <v>0</v>
      </c>
      <c r="K38" s="45" t="s">
        <v>222</v>
      </c>
      <c r="L38" s="9"/>
    </row>
    <row r="39" spans="1:12" ht="54" customHeight="1" x14ac:dyDescent="0.35">
      <c r="A39" s="14" t="s">
        <v>44</v>
      </c>
      <c r="B39" s="19">
        <v>46053</v>
      </c>
      <c r="C39" s="14" t="s">
        <v>175</v>
      </c>
      <c r="D39" s="20">
        <v>43500</v>
      </c>
      <c r="E39" s="14" t="s">
        <v>221</v>
      </c>
      <c r="F39" s="52"/>
      <c r="G39" s="26" t="str" cm="1">
        <f t="array" ref="G39">'KPI Calculations'!A18</f>
        <v>Apr</v>
      </c>
      <c r="H39" s="20" cm="1">
        <f t="array" ref="H39">SUMIF($A$36:$A$59,G39,$D$36:$D$59)</f>
        <v>420000</v>
      </c>
      <c r="I39" s="20" cm="1">
        <f t="array" ref="I39">'KPI Calculations'!N18</f>
        <v>420000</v>
      </c>
      <c r="J39" s="20" cm="1">
        <f t="array" ref="J39">H39-I39</f>
        <v>0</v>
      </c>
      <c r="K39" s="45" t="s">
        <v>222</v>
      </c>
      <c r="L39" s="9"/>
    </row>
    <row r="40" spans="1:12" ht="54" customHeight="1" x14ac:dyDescent="0.35">
      <c r="A40" s="14" t="s">
        <v>46</v>
      </c>
      <c r="B40" s="19">
        <v>46081</v>
      </c>
      <c r="C40" s="14" t="s">
        <v>168</v>
      </c>
      <c r="D40" s="20">
        <v>155800</v>
      </c>
      <c r="E40" s="14" t="s">
        <v>221</v>
      </c>
      <c r="F40" s="52"/>
      <c r="G40" s="26" t="str" cm="1">
        <f t="array" ref="G40">'KPI Calculations'!A19</f>
        <v>May</v>
      </c>
      <c r="H40" s="20" cm="1">
        <f t="array" ref="H40">SUMIF($A$36:$A$59,G40,$D$36:$D$59)</f>
        <v>440000</v>
      </c>
      <c r="I40" s="20" cm="1">
        <f t="array" ref="I40">'KPI Calculations'!N19</f>
        <v>440000</v>
      </c>
      <c r="J40" s="20" cm="1">
        <f t="array" ref="J40">H40-I40</f>
        <v>0</v>
      </c>
      <c r="K40" s="45" t="s">
        <v>222</v>
      </c>
      <c r="L40" s="9"/>
    </row>
    <row r="41" spans="1:12" ht="54" customHeight="1" x14ac:dyDescent="0.35">
      <c r="A41" s="14" t="s">
        <v>46</v>
      </c>
      <c r="B41" s="19">
        <v>46081</v>
      </c>
      <c r="C41" s="14" t="s">
        <v>171</v>
      </c>
      <c r="D41" s="20">
        <v>139400</v>
      </c>
      <c r="E41" s="14" t="s">
        <v>221</v>
      </c>
      <c r="F41" s="52"/>
      <c r="G41" s="26" t="str" cm="1">
        <f t="array" ref="G41">'KPI Calculations'!A20</f>
        <v>Jun</v>
      </c>
      <c r="H41" s="20" cm="1">
        <f t="array" ref="H41">SUMIF($A$36:$A$59,G41,$D$36:$D$59)</f>
        <v>445000</v>
      </c>
      <c r="I41" s="20" cm="1">
        <f t="array" ref="I41">'KPI Calculations'!N20</f>
        <v>445000</v>
      </c>
      <c r="J41" s="20" cm="1">
        <f t="array" ref="J41">H41-I41</f>
        <v>0</v>
      </c>
      <c r="K41" s="45" t="s">
        <v>222</v>
      </c>
      <c r="L41" s="9"/>
    </row>
    <row r="42" spans="1:12" ht="54" customHeight="1" x14ac:dyDescent="0.35">
      <c r="A42" s="14" t="s">
        <v>46</v>
      </c>
      <c r="B42" s="19">
        <v>46081</v>
      </c>
      <c r="C42" s="14" t="s">
        <v>173</v>
      </c>
      <c r="D42" s="20">
        <v>73800</v>
      </c>
      <c r="E42" s="14" t="s">
        <v>221</v>
      </c>
      <c r="F42" s="52"/>
      <c r="G42" s="10" t="s">
        <v>223</v>
      </c>
      <c r="H42" s="53" cm="1">
        <f t="array" ref="H42">SUM(H36:H41)</f>
        <v>2565000</v>
      </c>
      <c r="I42" s="53" cm="1">
        <f t="array" ref="I42">SUM(I36:I41)</f>
        <v>2565000</v>
      </c>
      <c r="J42" s="53" cm="1">
        <f t="array" ref="J42">H42-I42</f>
        <v>0</v>
      </c>
      <c r="K42" s="45" t="s">
        <v>222</v>
      </c>
      <c r="L42" s="9"/>
    </row>
    <row r="43" spans="1:12" ht="54" customHeight="1" x14ac:dyDescent="0.35">
      <c r="A43" s="14" t="s">
        <v>46</v>
      </c>
      <c r="B43" s="19">
        <v>46081</v>
      </c>
      <c r="C43" s="14" t="s">
        <v>175</v>
      </c>
      <c r="D43" s="20">
        <v>41000</v>
      </c>
      <c r="E43" s="14" t="s">
        <v>221</v>
      </c>
      <c r="F43" s="12"/>
      <c r="G43" s="24"/>
      <c r="H43" s="24"/>
      <c r="I43" s="24"/>
      <c r="J43" s="24"/>
      <c r="K43" s="8"/>
      <c r="L43" s="9"/>
    </row>
    <row r="44" spans="1:12" ht="54" customHeight="1" x14ac:dyDescent="0.35">
      <c r="A44" s="14" t="s">
        <v>48</v>
      </c>
      <c r="B44" s="19">
        <v>46112</v>
      </c>
      <c r="C44" s="14" t="s">
        <v>168</v>
      </c>
      <c r="D44" s="20">
        <v>157700</v>
      </c>
      <c r="E44" s="14" t="s">
        <v>221</v>
      </c>
      <c r="F44" s="12"/>
      <c r="G44" s="8"/>
      <c r="H44" s="8"/>
      <c r="I44" s="8"/>
      <c r="J44" s="8"/>
      <c r="K44" s="8"/>
      <c r="L44" s="9"/>
    </row>
    <row r="45" spans="1:12" ht="54" customHeight="1" x14ac:dyDescent="0.35">
      <c r="A45" s="14" t="s">
        <v>48</v>
      </c>
      <c r="B45" s="19">
        <v>46112</v>
      </c>
      <c r="C45" s="14" t="s">
        <v>171</v>
      </c>
      <c r="D45" s="20">
        <v>141100</v>
      </c>
      <c r="E45" s="14" t="s">
        <v>221</v>
      </c>
      <c r="F45" s="12"/>
      <c r="G45" s="8"/>
      <c r="H45" s="8"/>
      <c r="I45" s="8"/>
      <c r="J45" s="8"/>
      <c r="K45" s="8"/>
      <c r="L45" s="9"/>
    </row>
    <row r="46" spans="1:12" ht="54" customHeight="1" x14ac:dyDescent="0.35">
      <c r="A46" s="14" t="s">
        <v>48</v>
      </c>
      <c r="B46" s="19">
        <v>46112</v>
      </c>
      <c r="C46" s="14" t="s">
        <v>173</v>
      </c>
      <c r="D46" s="20">
        <v>74700</v>
      </c>
      <c r="E46" s="14" t="s">
        <v>221</v>
      </c>
      <c r="F46" s="12"/>
      <c r="G46" s="8"/>
      <c r="H46" s="8"/>
      <c r="I46" s="8"/>
      <c r="J46" s="8"/>
      <c r="K46" s="8"/>
      <c r="L46" s="9"/>
    </row>
    <row r="47" spans="1:12" ht="54" customHeight="1" x14ac:dyDescent="0.35">
      <c r="A47" s="14" t="s">
        <v>48</v>
      </c>
      <c r="B47" s="19">
        <v>46112</v>
      </c>
      <c r="C47" s="14" t="s">
        <v>175</v>
      </c>
      <c r="D47" s="20">
        <v>41500</v>
      </c>
      <c r="E47" s="14" t="s">
        <v>221</v>
      </c>
      <c r="F47" s="12"/>
      <c r="G47" s="8"/>
      <c r="H47" s="8"/>
      <c r="I47" s="8"/>
      <c r="J47" s="8"/>
      <c r="K47" s="8"/>
      <c r="L47" s="9"/>
    </row>
    <row r="48" spans="1:12" ht="54" customHeight="1" x14ac:dyDescent="0.35">
      <c r="A48" s="14" t="s">
        <v>50</v>
      </c>
      <c r="B48" s="19">
        <v>46142</v>
      </c>
      <c r="C48" s="14" t="s">
        <v>168</v>
      </c>
      <c r="D48" s="20">
        <v>159600</v>
      </c>
      <c r="E48" s="14" t="s">
        <v>221</v>
      </c>
      <c r="F48" s="12"/>
      <c r="G48" s="8"/>
      <c r="H48" s="8"/>
      <c r="I48" s="8"/>
      <c r="J48" s="8"/>
      <c r="K48" s="8"/>
      <c r="L48" s="9"/>
    </row>
    <row r="49" spans="1:12" ht="54" customHeight="1" x14ac:dyDescent="0.35">
      <c r="A49" s="14" t="s">
        <v>50</v>
      </c>
      <c r="B49" s="19">
        <v>46142</v>
      </c>
      <c r="C49" s="14" t="s">
        <v>171</v>
      </c>
      <c r="D49" s="20">
        <v>142800</v>
      </c>
      <c r="E49" s="14" t="s">
        <v>221</v>
      </c>
      <c r="F49" s="12"/>
      <c r="G49" s="8"/>
      <c r="H49" s="8"/>
      <c r="I49" s="8"/>
      <c r="J49" s="8"/>
      <c r="K49" s="8"/>
      <c r="L49" s="9"/>
    </row>
    <row r="50" spans="1:12" ht="54" customHeight="1" x14ac:dyDescent="0.35">
      <c r="A50" s="14" t="s">
        <v>50</v>
      </c>
      <c r="B50" s="19">
        <v>46142</v>
      </c>
      <c r="C50" s="14" t="s">
        <v>173</v>
      </c>
      <c r="D50" s="20">
        <v>75600</v>
      </c>
      <c r="E50" s="14" t="s">
        <v>221</v>
      </c>
      <c r="F50" s="12"/>
      <c r="G50" s="8"/>
      <c r="H50" s="8"/>
      <c r="I50" s="8"/>
      <c r="J50" s="8"/>
      <c r="K50" s="8"/>
      <c r="L50" s="9"/>
    </row>
    <row r="51" spans="1:12" ht="54" customHeight="1" x14ac:dyDescent="0.35">
      <c r="A51" s="14" t="s">
        <v>50</v>
      </c>
      <c r="B51" s="19">
        <v>46142</v>
      </c>
      <c r="C51" s="14" t="s">
        <v>175</v>
      </c>
      <c r="D51" s="20">
        <v>42000</v>
      </c>
      <c r="E51" s="14" t="s">
        <v>221</v>
      </c>
      <c r="F51" s="12"/>
      <c r="G51" s="8"/>
      <c r="H51" s="8"/>
      <c r="I51" s="8"/>
      <c r="J51" s="8"/>
      <c r="K51" s="8"/>
      <c r="L51" s="9"/>
    </row>
    <row r="52" spans="1:12" ht="54" customHeight="1" x14ac:dyDescent="0.35">
      <c r="A52" s="14" t="s">
        <v>52</v>
      </c>
      <c r="B52" s="19">
        <v>46173</v>
      </c>
      <c r="C52" s="14" t="s">
        <v>168</v>
      </c>
      <c r="D52" s="20">
        <v>167200</v>
      </c>
      <c r="E52" s="14" t="s">
        <v>221</v>
      </c>
      <c r="F52" s="12"/>
      <c r="G52" s="8"/>
      <c r="H52" s="8"/>
      <c r="I52" s="8"/>
      <c r="J52" s="8"/>
      <c r="K52" s="8"/>
      <c r="L52" s="9"/>
    </row>
    <row r="53" spans="1:12" ht="54" customHeight="1" x14ac:dyDescent="0.35">
      <c r="A53" s="14" t="s">
        <v>52</v>
      </c>
      <c r="B53" s="19">
        <v>46173</v>
      </c>
      <c r="C53" s="14" t="s">
        <v>171</v>
      </c>
      <c r="D53" s="20">
        <v>149600</v>
      </c>
      <c r="E53" s="14" t="s">
        <v>221</v>
      </c>
      <c r="F53" s="12"/>
      <c r="G53" s="8"/>
      <c r="H53" s="8"/>
      <c r="I53" s="8"/>
      <c r="J53" s="8"/>
      <c r="K53" s="8"/>
      <c r="L53" s="9"/>
    </row>
    <row r="54" spans="1:12" ht="54" customHeight="1" x14ac:dyDescent="0.35">
      <c r="A54" s="14" t="s">
        <v>52</v>
      </c>
      <c r="B54" s="19">
        <v>46173</v>
      </c>
      <c r="C54" s="14" t="s">
        <v>173</v>
      </c>
      <c r="D54" s="20">
        <v>79200</v>
      </c>
      <c r="E54" s="14" t="s">
        <v>221</v>
      </c>
      <c r="F54" s="12"/>
      <c r="G54" s="8"/>
      <c r="H54" s="8"/>
      <c r="I54" s="8"/>
      <c r="J54" s="8"/>
      <c r="K54" s="8"/>
      <c r="L54" s="9"/>
    </row>
    <row r="55" spans="1:12" ht="54" customHeight="1" x14ac:dyDescent="0.35">
      <c r="A55" s="14" t="s">
        <v>52</v>
      </c>
      <c r="B55" s="19">
        <v>46173</v>
      </c>
      <c r="C55" s="14" t="s">
        <v>175</v>
      </c>
      <c r="D55" s="20">
        <v>44000</v>
      </c>
      <c r="E55" s="14" t="s">
        <v>221</v>
      </c>
      <c r="F55" s="12"/>
      <c r="G55" s="8"/>
      <c r="H55" s="8"/>
      <c r="I55" s="8"/>
      <c r="J55" s="8"/>
      <c r="K55" s="8"/>
      <c r="L55" s="9"/>
    </row>
    <row r="56" spans="1:12" ht="54" customHeight="1" x14ac:dyDescent="0.35">
      <c r="A56" s="14" t="s">
        <v>54</v>
      </c>
      <c r="B56" s="19">
        <v>46203</v>
      </c>
      <c r="C56" s="14" t="s">
        <v>168</v>
      </c>
      <c r="D56" s="20">
        <v>169100</v>
      </c>
      <c r="E56" s="14" t="s">
        <v>221</v>
      </c>
      <c r="F56" s="12"/>
      <c r="G56" s="8"/>
      <c r="H56" s="8"/>
      <c r="I56" s="8"/>
      <c r="J56" s="8"/>
      <c r="K56" s="8"/>
      <c r="L56" s="9"/>
    </row>
    <row r="57" spans="1:12" ht="54" customHeight="1" x14ac:dyDescent="0.35">
      <c r="A57" s="14" t="s">
        <v>54</v>
      </c>
      <c r="B57" s="19">
        <v>46203</v>
      </c>
      <c r="C57" s="14" t="s">
        <v>171</v>
      </c>
      <c r="D57" s="20">
        <v>151300</v>
      </c>
      <c r="E57" s="14" t="s">
        <v>221</v>
      </c>
      <c r="F57" s="12"/>
      <c r="G57" s="8"/>
      <c r="H57" s="8"/>
      <c r="I57" s="8"/>
      <c r="J57" s="8"/>
      <c r="K57" s="8"/>
      <c r="L57" s="9"/>
    </row>
    <row r="58" spans="1:12" ht="54" customHeight="1" x14ac:dyDescent="0.35">
      <c r="A58" s="14" t="s">
        <v>54</v>
      </c>
      <c r="B58" s="19">
        <v>46203</v>
      </c>
      <c r="C58" s="14" t="s">
        <v>173</v>
      </c>
      <c r="D58" s="20">
        <v>80100</v>
      </c>
      <c r="E58" s="14" t="s">
        <v>221</v>
      </c>
      <c r="F58" s="12"/>
      <c r="G58" s="8"/>
      <c r="H58" s="8"/>
      <c r="I58" s="8"/>
      <c r="J58" s="8"/>
      <c r="K58" s="8"/>
      <c r="L58" s="9"/>
    </row>
    <row r="59" spans="1:12" ht="54" customHeight="1" x14ac:dyDescent="0.35">
      <c r="A59" s="14" t="s">
        <v>54</v>
      </c>
      <c r="B59" s="19">
        <v>46203</v>
      </c>
      <c r="C59" s="14" t="s">
        <v>175</v>
      </c>
      <c r="D59" s="20">
        <v>44500</v>
      </c>
      <c r="E59" s="14" t="s">
        <v>221</v>
      </c>
      <c r="F59" s="12"/>
      <c r="G59" s="8"/>
      <c r="H59" s="8"/>
      <c r="I59" s="8"/>
      <c r="J59" s="8"/>
      <c r="K59" s="8"/>
      <c r="L59" s="9"/>
    </row>
    <row r="60" spans="1:12" ht="30" customHeight="1" x14ac:dyDescent="0.35">
      <c r="A60" s="54"/>
      <c r="B60" s="55"/>
      <c r="C60" s="55"/>
      <c r="D60" s="55"/>
      <c r="E60" s="55"/>
      <c r="F60" s="47"/>
      <c r="G60" s="47"/>
      <c r="H60" s="47"/>
      <c r="I60" s="47"/>
      <c r="J60" s="47"/>
      <c r="K60" s="47"/>
      <c r="L60" s="48"/>
    </row>
  </sheetData>
  <mergeCells count="2">
    <mergeCell ref="A1:J1"/>
    <mergeCell ref="A2:L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showGridLines="0" topLeftCell="C15" workbookViewId="0">
      <selection activeCell="G16" sqref="G16"/>
    </sheetView>
  </sheetViews>
  <sheetFormatPr defaultColWidth="8.46484375" defaultRowHeight="15" customHeight="1" x14ac:dyDescent="0.35"/>
  <cols>
    <col min="1" max="1" width="20" style="1" customWidth="1"/>
    <col min="2" max="2" width="48" style="1" customWidth="1"/>
    <col min="3" max="3" width="22" style="1" customWidth="1"/>
    <col min="4" max="4" width="16" style="1" customWidth="1"/>
    <col min="5" max="5" width="24" style="1" customWidth="1"/>
    <col min="6" max="6" width="18" style="1" customWidth="1"/>
    <col min="7" max="7" width="58" style="1" customWidth="1"/>
    <col min="8" max="8" width="20" style="1" customWidth="1"/>
    <col min="9" max="9" width="8.46484375" style="1" customWidth="1"/>
    <col min="10" max="16384" width="8.46484375" style="1"/>
  </cols>
  <sheetData>
    <row r="1" spans="1:8" ht="24" customHeight="1" x14ac:dyDescent="0.35">
      <c r="A1" s="77" t="s">
        <v>224</v>
      </c>
      <c r="B1" s="78"/>
      <c r="C1" s="78"/>
      <c r="D1" s="78"/>
      <c r="E1" s="78"/>
      <c r="F1" s="78"/>
      <c r="G1" s="78"/>
      <c r="H1" s="79"/>
    </row>
    <row r="2" spans="1:8" ht="40.049999999999997" customHeight="1" x14ac:dyDescent="0.35">
      <c r="A2" s="80" t="s">
        <v>225</v>
      </c>
      <c r="B2" s="81"/>
      <c r="C2" s="81"/>
      <c r="D2" s="81"/>
      <c r="E2" s="81"/>
      <c r="F2" s="81"/>
      <c r="G2" s="81"/>
      <c r="H2" s="82"/>
    </row>
    <row r="3" spans="1:8" ht="30" customHeight="1" x14ac:dyDescent="0.35">
      <c r="A3" s="56"/>
      <c r="B3" s="57"/>
      <c r="C3" s="57"/>
      <c r="D3" s="57"/>
      <c r="E3" s="57"/>
      <c r="F3" s="57"/>
      <c r="G3" s="4"/>
      <c r="H3" s="5"/>
    </row>
    <row r="4" spans="1:8" ht="30" customHeight="1" x14ac:dyDescent="0.35">
      <c r="A4" s="13" t="s">
        <v>226</v>
      </c>
      <c r="B4" s="58"/>
      <c r="C4" s="58"/>
      <c r="D4" s="58"/>
      <c r="E4" s="58"/>
      <c r="F4" s="58"/>
      <c r="G4" s="59"/>
      <c r="H4" s="5"/>
    </row>
    <row r="5" spans="1:8" ht="30" customHeight="1" x14ac:dyDescent="0.35">
      <c r="A5" s="13" t="s">
        <v>227</v>
      </c>
      <c r="B5" s="13" t="s">
        <v>228</v>
      </c>
      <c r="C5" s="13" t="s">
        <v>229</v>
      </c>
      <c r="D5" s="13" t="s">
        <v>230</v>
      </c>
      <c r="E5" s="13" t="s">
        <v>231</v>
      </c>
      <c r="F5" s="13" t="s">
        <v>232</v>
      </c>
      <c r="G5" s="59"/>
      <c r="H5" s="5"/>
    </row>
    <row r="6" spans="1:8" ht="56" customHeight="1" x14ac:dyDescent="0.35">
      <c r="A6" s="14" t="s">
        <v>233</v>
      </c>
      <c r="B6" s="14" t="s">
        <v>234</v>
      </c>
      <c r="C6" s="14" t="s">
        <v>83</v>
      </c>
      <c r="D6" s="60" cm="1">
        <f t="array" ref="D6">'KPI Calculations'!B40</f>
        <v>0.82741935483870965</v>
      </c>
      <c r="E6" s="14" t="s">
        <v>235</v>
      </c>
      <c r="F6" s="60" cm="1">
        <f t="array" ref="F6">'Payer Mix'!B16</f>
        <v>0.89935390624999989</v>
      </c>
      <c r="G6" s="59"/>
      <c r="H6" s="5"/>
    </row>
    <row r="7" spans="1:8" ht="56" customHeight="1" x14ac:dyDescent="0.35">
      <c r="A7" s="14" t="s">
        <v>236</v>
      </c>
      <c r="B7" s="14" t="s">
        <v>237</v>
      </c>
      <c r="C7" s="14" t="s">
        <v>238</v>
      </c>
      <c r="D7" s="27" t="str" cm="1">
        <f t="array" ref="D7">'KPI Calculations'!B46</f>
        <v>Stable</v>
      </c>
      <c r="E7" s="14" t="s">
        <v>105</v>
      </c>
      <c r="F7" s="27" t="str" cm="1">
        <f t="array" ref="F7">'KPI Calculations'!B49</f>
        <v>Improving</v>
      </c>
      <c r="G7" s="59"/>
      <c r="H7" s="5"/>
    </row>
    <row r="8" spans="1:8" ht="56" customHeight="1" x14ac:dyDescent="0.35">
      <c r="A8" s="14" t="s">
        <v>239</v>
      </c>
      <c r="B8" s="14" t="s">
        <v>240</v>
      </c>
      <c r="C8" s="14" t="s">
        <v>241</v>
      </c>
      <c r="D8" s="60" cm="1">
        <f t="array" ref="D8">'KPI Calculations'!B50</f>
        <v>6.2109375000000001E-2</v>
      </c>
      <c r="E8" s="14" t="s">
        <v>242</v>
      </c>
      <c r="F8" s="60" cm="1">
        <f t="array" ref="F8">'KPI Calculations'!B53</f>
        <v>0.21739130434782608</v>
      </c>
      <c r="G8" s="59"/>
      <c r="H8" s="5"/>
    </row>
    <row r="9" spans="1:8" ht="56" customHeight="1" x14ac:dyDescent="0.35">
      <c r="A9" s="14" t="s">
        <v>243</v>
      </c>
      <c r="B9" s="14" t="s">
        <v>244</v>
      </c>
      <c r="C9" s="14" t="s">
        <v>245</v>
      </c>
      <c r="D9" s="60" cm="1">
        <f t="array" ref="D9">'Payer Mix'!B16</f>
        <v>0.89935390624999989</v>
      </c>
      <c r="E9" s="14" t="s">
        <v>246</v>
      </c>
      <c r="F9" s="60" cm="1">
        <f t="array" ref="F9">'Payer Mix'!B16-'KPI Calculations'!B40</f>
        <v>7.1934551411290237E-2</v>
      </c>
      <c r="G9" s="59"/>
      <c r="H9" s="5"/>
    </row>
    <row r="10" spans="1:8" ht="56" customHeight="1" x14ac:dyDescent="0.35">
      <c r="A10" s="61" t="s">
        <v>247</v>
      </c>
      <c r="B10" s="62" t="s">
        <v>248</v>
      </c>
      <c r="C10" s="62" t="s">
        <v>117</v>
      </c>
      <c r="D10" s="76" cm="1">
        <f t="array" ref="D10">'KPI Calculations'!B55</f>
        <v>2.9677419354838711E-2</v>
      </c>
      <c r="E10" s="62" t="s">
        <v>249</v>
      </c>
      <c r="F10" s="62" t="s">
        <v>118</v>
      </c>
      <c r="G10" s="4"/>
      <c r="H10" s="5"/>
    </row>
    <row r="11" spans="1:8" ht="30" customHeight="1" x14ac:dyDescent="0.35">
      <c r="A11" s="56"/>
      <c r="B11" s="57"/>
      <c r="C11" s="57"/>
      <c r="D11" s="57"/>
      <c r="E11" s="57"/>
      <c r="F11" s="57"/>
      <c r="G11" s="57"/>
      <c r="H11" s="63"/>
    </row>
    <row r="12" spans="1:8" ht="30" customHeight="1" x14ac:dyDescent="0.35">
      <c r="A12" s="13" t="s">
        <v>250</v>
      </c>
      <c r="B12" s="58"/>
      <c r="C12" s="58"/>
      <c r="D12" s="58"/>
      <c r="E12" s="58"/>
      <c r="F12" s="58"/>
      <c r="G12" s="58"/>
      <c r="H12" s="58"/>
    </row>
    <row r="13" spans="1:8" ht="30" customHeight="1" x14ac:dyDescent="0.35">
      <c r="A13" s="13" t="s">
        <v>251</v>
      </c>
      <c r="B13" s="13" t="s">
        <v>252</v>
      </c>
      <c r="C13" s="13" t="s">
        <v>253</v>
      </c>
      <c r="D13" s="13" t="s">
        <v>137</v>
      </c>
      <c r="E13" s="13" t="s">
        <v>5</v>
      </c>
      <c r="F13" s="13" t="s">
        <v>140</v>
      </c>
      <c r="G13" s="13" t="s">
        <v>254</v>
      </c>
      <c r="H13" s="13" t="s">
        <v>255</v>
      </c>
    </row>
    <row r="14" spans="1:8" ht="96" customHeight="1" x14ac:dyDescent="0.35">
      <c r="A14" s="14" t="s">
        <v>256</v>
      </c>
      <c r="B14" s="14" t="s">
        <v>257</v>
      </c>
      <c r="C14" s="14" t="s">
        <v>258</v>
      </c>
      <c r="D14" s="60" cm="1">
        <f t="array" ref="D14">'KPI Calculations'!B40</f>
        <v>0.82741935483870965</v>
      </c>
      <c r="E14" s="14" t="s">
        <v>259</v>
      </c>
      <c r="F14" s="27" t="str" cm="1">
        <f t="array" ref="F14">'KPI Calculations'!D40</f>
        <v>Below benchmark</v>
      </c>
      <c r="G14" s="14" t="s">
        <v>260</v>
      </c>
      <c r="H14" s="64" cm="1">
        <f t="array" ref="H14">'Payer Mix'!B20</f>
        <v>222997.10937499953</v>
      </c>
    </row>
    <row r="15" spans="1:8" ht="96" customHeight="1" x14ac:dyDescent="0.35">
      <c r="A15" s="14" t="s">
        <v>261</v>
      </c>
      <c r="B15" s="14" t="s">
        <v>262</v>
      </c>
      <c r="C15" s="14" t="s">
        <v>263</v>
      </c>
      <c r="D15" s="27" t="str" cm="1">
        <f t="array" ref="D15">'KPI Calculations'!B46</f>
        <v>Stable</v>
      </c>
      <c r="E15" s="14" t="s">
        <v>264</v>
      </c>
      <c r="F15" s="27" t="str" cm="1">
        <f t="array" ref="F15">'KPI Calculations'!B49</f>
        <v>Improving</v>
      </c>
      <c r="G15" s="14" t="s">
        <v>265</v>
      </c>
      <c r="H15" s="60" cm="1">
        <f t="array" ref="H15">('KPI Calculations'!B48/'KPI Calculations'!B47)-1</f>
        <v>-4.8494610266065608E-2</v>
      </c>
    </row>
    <row r="16" spans="1:8" ht="96" customHeight="1" x14ac:dyDescent="0.35">
      <c r="A16" s="14" t="s">
        <v>266</v>
      </c>
      <c r="B16" s="14" t="s">
        <v>267</v>
      </c>
      <c r="C16" s="14" t="s">
        <v>268</v>
      </c>
      <c r="D16" s="60" cm="1">
        <f t="array" ref="D16">'KPI Calculations'!B50</f>
        <v>6.2109375000000001E-2</v>
      </c>
      <c r="E16" s="14" t="s">
        <v>269</v>
      </c>
      <c r="F16" s="27" t="str" cm="1">
        <f t="array" ref="F16">'KPI Calculations'!D50</f>
        <v>Significant problem</v>
      </c>
      <c r="G16" s="14" t="s">
        <v>331</v>
      </c>
      <c r="H16" s="60" cm="1">
        <f t="array" ref="H16">'KPI Calculations'!B53</f>
        <v>0.21739130434782608</v>
      </c>
    </row>
    <row r="17" spans="1:8" ht="96" customHeight="1" x14ac:dyDescent="0.35">
      <c r="A17" s="14" t="s">
        <v>270</v>
      </c>
      <c r="B17" s="14" t="s">
        <v>271</v>
      </c>
      <c r="C17" s="14" t="s">
        <v>272</v>
      </c>
      <c r="D17" s="60" cm="1">
        <f t="array" ref="D17">'Payer Mix'!B16</f>
        <v>0.89935390624999989</v>
      </c>
      <c r="E17" s="14" t="s">
        <v>273</v>
      </c>
      <c r="F17" s="14" t="s">
        <v>274</v>
      </c>
      <c r="G17" s="14" t="s">
        <v>275</v>
      </c>
      <c r="H17" s="60" cm="1">
        <f t="array" ref="H17">'Payer Mix'!B16-'KPI Calculations'!B40</f>
        <v>7.1934551411290237E-2</v>
      </c>
    </row>
    <row r="18" spans="1:8" ht="96" customHeight="1" x14ac:dyDescent="0.35">
      <c r="A18" s="14" t="s">
        <v>276</v>
      </c>
      <c r="B18" s="14" t="s">
        <v>277</v>
      </c>
      <c r="C18" s="14" t="s">
        <v>278</v>
      </c>
      <c r="D18" s="64" cm="1">
        <f t="array" ref="D18">'KPI Calculations'!B52</f>
        <v>190800</v>
      </c>
      <c r="E18" s="14" t="s">
        <v>279</v>
      </c>
      <c r="F18" s="14" t="s">
        <v>280</v>
      </c>
      <c r="G18" s="14" t="s">
        <v>332</v>
      </c>
      <c r="H18" s="60" cm="1">
        <f t="array" ref="H18">'KPI Calculations'!B53</f>
        <v>0.21739130434782608</v>
      </c>
    </row>
    <row r="19" spans="1:8" ht="96" customHeight="1" x14ac:dyDescent="0.35">
      <c r="A19" s="14" t="s">
        <v>281</v>
      </c>
      <c r="B19" s="14" t="s">
        <v>282</v>
      </c>
      <c r="C19" s="14" t="s">
        <v>283</v>
      </c>
      <c r="D19" s="64" cm="1">
        <f t="array" ref="D19">'Payer Mix'!B20</f>
        <v>222997.10937499953</v>
      </c>
      <c r="E19" s="14" t="s">
        <v>284</v>
      </c>
      <c r="F19" s="14" t="s">
        <v>285</v>
      </c>
      <c r="G19" s="14" t="s">
        <v>330</v>
      </c>
      <c r="H19" s="64" cm="1">
        <f t="array" ref="H19">'KPI Calculations'!B52+'KPI Calculations'!L20</f>
        <v>390800</v>
      </c>
    </row>
    <row r="20" spans="1:8" ht="96" customHeight="1" x14ac:dyDescent="0.35">
      <c r="A20" s="61" t="s">
        <v>286</v>
      </c>
      <c r="B20" s="62" t="s">
        <v>287</v>
      </c>
      <c r="C20" s="62" t="s">
        <v>117</v>
      </c>
      <c r="D20" s="76" cm="1">
        <f t="array" ref="D20">'KPI Calculations'!B55</f>
        <v>2.9677419354838711E-2</v>
      </c>
      <c r="E20" s="62" t="s">
        <v>288</v>
      </c>
      <c r="F20" s="62" t="s">
        <v>119</v>
      </c>
      <c r="G20" s="62" t="s">
        <v>289</v>
      </c>
      <c r="H20" s="65"/>
    </row>
    <row r="21" spans="1:8" ht="30" customHeight="1" x14ac:dyDescent="0.35">
      <c r="A21" s="56"/>
      <c r="B21" s="57"/>
      <c r="C21" s="57"/>
      <c r="D21" s="57"/>
      <c r="E21" s="57"/>
      <c r="F21" s="57"/>
      <c r="G21" s="4"/>
      <c r="H21" s="5"/>
    </row>
    <row r="22" spans="1:8" ht="30" customHeight="1" x14ac:dyDescent="0.35">
      <c r="A22" s="13" t="s">
        <v>290</v>
      </c>
      <c r="B22" s="58"/>
      <c r="C22" s="58"/>
      <c r="D22" s="58"/>
      <c r="E22" s="58"/>
      <c r="F22" s="58"/>
      <c r="G22" s="66"/>
      <c r="H22" s="67"/>
    </row>
    <row r="23" spans="1:8" ht="30" customHeight="1" x14ac:dyDescent="0.35">
      <c r="A23" s="13" t="s">
        <v>291</v>
      </c>
      <c r="B23" s="13" t="s">
        <v>292</v>
      </c>
      <c r="C23" s="13" t="s">
        <v>293</v>
      </c>
      <c r="D23" s="13" t="s">
        <v>294</v>
      </c>
      <c r="E23" s="13" t="s">
        <v>295</v>
      </c>
      <c r="F23" s="13" t="s">
        <v>296</v>
      </c>
      <c r="G23" s="66"/>
      <c r="H23" s="67"/>
    </row>
    <row r="24" spans="1:8" ht="108" customHeight="1" x14ac:dyDescent="0.35">
      <c r="A24" s="28">
        <v>1</v>
      </c>
      <c r="B24" s="14" t="s">
        <v>297</v>
      </c>
      <c r="C24" s="14" t="s">
        <v>298</v>
      </c>
      <c r="D24" s="14" t="s">
        <v>333</v>
      </c>
      <c r="E24" s="14" t="s">
        <v>299</v>
      </c>
      <c r="F24" s="14" t="s">
        <v>300</v>
      </c>
      <c r="G24" s="59"/>
      <c r="H24" s="5"/>
    </row>
    <row r="25" spans="1:8" ht="108" customHeight="1" x14ac:dyDescent="0.35">
      <c r="A25" s="28">
        <v>2</v>
      </c>
      <c r="B25" s="14" t="s">
        <v>301</v>
      </c>
      <c r="C25" s="14" t="s">
        <v>302</v>
      </c>
      <c r="D25" s="14" t="s">
        <v>334</v>
      </c>
      <c r="E25" s="14" t="s">
        <v>303</v>
      </c>
      <c r="F25" s="14" t="s">
        <v>304</v>
      </c>
      <c r="G25" s="59"/>
      <c r="H25" s="5"/>
    </row>
    <row r="26" spans="1:8" ht="108" customHeight="1" x14ac:dyDescent="0.35">
      <c r="A26" s="28">
        <v>3</v>
      </c>
      <c r="B26" s="14" t="s">
        <v>305</v>
      </c>
      <c r="C26" s="14" t="s">
        <v>306</v>
      </c>
      <c r="D26" s="14" t="s">
        <v>307</v>
      </c>
      <c r="E26" s="14" t="s">
        <v>308</v>
      </c>
      <c r="F26" s="14" t="s">
        <v>309</v>
      </c>
      <c r="G26" s="59"/>
      <c r="H26" s="5"/>
    </row>
    <row r="27" spans="1:8" ht="30" customHeight="1" x14ac:dyDescent="0.35">
      <c r="A27" s="68"/>
      <c r="B27" s="69"/>
      <c r="C27" s="69"/>
      <c r="D27" s="69"/>
      <c r="E27" s="69"/>
      <c r="F27" s="69"/>
      <c r="G27" s="4"/>
      <c r="H27" s="5"/>
    </row>
    <row r="28" spans="1:8" ht="30" customHeight="1" x14ac:dyDescent="0.35">
      <c r="A28" s="56"/>
      <c r="B28" s="57"/>
      <c r="C28" s="57"/>
      <c r="D28" s="57"/>
      <c r="E28" s="57"/>
      <c r="F28" s="57"/>
      <c r="G28" s="57"/>
      <c r="H28" s="5"/>
    </row>
    <row r="29" spans="1:8" ht="30" customHeight="1" x14ac:dyDescent="0.35">
      <c r="A29" s="13" t="s">
        <v>310</v>
      </c>
      <c r="B29" s="58"/>
      <c r="C29" s="58"/>
      <c r="D29" s="58"/>
      <c r="E29" s="58"/>
      <c r="F29" s="58"/>
      <c r="G29" s="58"/>
      <c r="H29" s="70"/>
    </row>
    <row r="30" spans="1:8" ht="30" customHeight="1" x14ac:dyDescent="0.35">
      <c r="A30" s="13" t="s">
        <v>292</v>
      </c>
      <c r="B30" s="13" t="s">
        <v>311</v>
      </c>
      <c r="C30" s="13" t="s">
        <v>312</v>
      </c>
      <c r="D30" s="13" t="s">
        <v>313</v>
      </c>
      <c r="E30" s="13" t="s">
        <v>314</v>
      </c>
      <c r="F30" s="13" t="s">
        <v>315</v>
      </c>
      <c r="G30" s="13" t="s">
        <v>316</v>
      </c>
      <c r="H30" s="70"/>
    </row>
    <row r="31" spans="1:8" ht="100.05" customHeight="1" x14ac:dyDescent="0.35">
      <c r="A31" s="14" t="s">
        <v>317</v>
      </c>
      <c r="B31" s="14" t="s">
        <v>318</v>
      </c>
      <c r="C31" s="64" cm="1">
        <f t="array" ref="C31">'KPI Calculations'!B52+'KPI Calculations'!L20</f>
        <v>390800</v>
      </c>
      <c r="D31" s="14" t="s">
        <v>319</v>
      </c>
      <c r="E31" s="14" t="s">
        <v>320</v>
      </c>
      <c r="F31" s="14" t="s">
        <v>321</v>
      </c>
      <c r="G31" s="14" t="s">
        <v>322</v>
      </c>
      <c r="H31" s="71"/>
    </row>
    <row r="32" spans="1:8" ht="100.05" customHeight="1" x14ac:dyDescent="0.35">
      <c r="A32" s="14" t="s">
        <v>323</v>
      </c>
      <c r="B32" s="14" t="s">
        <v>324</v>
      </c>
      <c r="C32" s="64" cm="1">
        <f t="array" ref="C32">'KPI Calculations'!B51</f>
        <v>62000</v>
      </c>
      <c r="D32" s="14" t="s">
        <v>325</v>
      </c>
      <c r="E32" s="14" t="s">
        <v>326</v>
      </c>
      <c r="F32" s="14" t="s">
        <v>327</v>
      </c>
      <c r="G32" s="14" t="s">
        <v>328</v>
      </c>
      <c r="H32" s="71"/>
    </row>
    <row r="33" spans="1:8" ht="30" customHeight="1" x14ac:dyDescent="0.35">
      <c r="A33" s="68"/>
      <c r="B33" s="69"/>
      <c r="C33" s="69"/>
      <c r="D33" s="69"/>
      <c r="E33" s="69"/>
      <c r="F33" s="69"/>
      <c r="G33" s="69"/>
      <c r="H33" s="5"/>
    </row>
    <row r="34" spans="1:8" ht="30" customHeight="1" x14ac:dyDescent="0.35">
      <c r="A34" s="72"/>
      <c r="B34" s="4"/>
      <c r="C34" s="4"/>
      <c r="D34" s="4"/>
      <c r="E34" s="4"/>
      <c r="F34" s="4"/>
      <c r="G34" s="4"/>
      <c r="H34" s="5"/>
    </row>
    <row r="35" spans="1:8" ht="30" customHeight="1" x14ac:dyDescent="0.35">
      <c r="A35" s="73"/>
      <c r="B35" s="74"/>
      <c r="C35" s="74"/>
      <c r="D35" s="74"/>
      <c r="E35" s="74"/>
      <c r="F35" s="74"/>
      <c r="G35" s="74"/>
      <c r="H35" s="75"/>
    </row>
  </sheetData>
  <mergeCells count="2">
    <mergeCell ref="A1:H1"/>
    <mergeCell ref="A2:H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Calculations</vt:lpstr>
      <vt:lpstr>Monthly Trend</vt:lpstr>
      <vt:lpstr>Payer Mix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Cindy Sim</cp:lastModifiedBy>
  <dcterms:modified xsi:type="dcterms:W3CDTF">2026-07-11T20:52:27Z</dcterms:modified>
</cp:coreProperties>
</file>