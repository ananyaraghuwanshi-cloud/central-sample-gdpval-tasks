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c66e2ceec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034f409ac9453d"/>
    <x:sheet xmlns:r="http://schemas.openxmlformats.org/officeDocument/2006/relationships" name="Payer_Mix" sheetId="2" r:id="R07bc28cc71e541db"/>
    <x:sheet xmlns:r="http://schemas.openxmlformats.org/officeDocument/2006/relationships" name="Payment_Detail" sheetId="3" r:id="R2dda02c632c447e5"/>
    <x:sheet xmlns:r="http://schemas.openxmlformats.org/officeDocument/2006/relationships" name="Denial_Detail" sheetId="4" r:id="R8d5df0eb8e1942c2"/>
    <x:sheet xmlns:r="http://schemas.openxmlformats.org/officeDocument/2006/relationships" name="Fee_Schedule_Change" sheetId="5" r:id="Rf08ff0fcca034b6f"/>
    <x:sheet xmlns:r="http://schemas.openxmlformats.org/officeDocument/2006/relationships" name="Benchmarks" sheetId="6" r:id="R29b6293c76e341ce"/>
    <x:sheet xmlns:r="http://schemas.openxmlformats.org/officeDocument/2006/relationships" name="Operational_Notes" sheetId="7" r:id="R7e0ce81941a142b1"/>
    <x:sheet xmlns:r="http://schemas.openxmlformats.org/officeDocument/2006/relationships" name="Data_Dictionary" sheetId="8" r:id="Ra92c3d77a3ea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$#,##0.00"/>
    <x:numFmt numFmtId="203" formatCode="#,##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61aab040c41ae" /><Relationship Type="http://schemas.openxmlformats.org/officeDocument/2006/relationships/theme" Target="/xl/theme/theme1.xml" Id="Rc7ef2fa95a1f44b6" /><Relationship Type="http://schemas.openxmlformats.org/officeDocument/2006/relationships/sharedStrings" Target="/xl/sharedStrings.xml" Id="Ra1e997ac33c94652" /><Relationship Type="http://schemas.openxmlformats.org/officeDocument/2006/relationships/worksheet" Target="/xl/worksheets/sheet1.xml" Id="R4d034f409ac9453d" /><Relationship Type="http://schemas.openxmlformats.org/officeDocument/2006/relationships/worksheet" Target="/xl/worksheets/sheet2.xml" Id="R07bc28cc71e541db" /><Relationship Type="http://schemas.openxmlformats.org/officeDocument/2006/relationships/worksheet" Target="/xl/worksheets/sheet3.xml" Id="R2dda02c632c447e5" /><Relationship Type="http://schemas.openxmlformats.org/officeDocument/2006/relationships/worksheet" Target="/xl/worksheets/sheet4.xml" Id="R8d5df0eb8e1942c2" /><Relationship Type="http://schemas.openxmlformats.org/officeDocument/2006/relationships/worksheet" Target="/xl/worksheets/sheet5.xml" Id="Rf08ff0fcca034b6f" /><Relationship Type="http://schemas.openxmlformats.org/officeDocument/2006/relationships/worksheet" Target="/xl/worksheets/sheet6.xml" Id="R29b6293c76e341ce" /><Relationship Type="http://schemas.openxmlformats.org/officeDocument/2006/relationships/worksheet" Target="/xl/worksheets/sheet7.xml" Id="R7e0ce81941a142b1" /><Relationship Type="http://schemas.openxmlformats.org/officeDocument/2006/relationships/worksheet" Target="/xl/worksheets/sheet8.xml" Id="Ra92c3d77a3ea49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24" customHeight="1">
      <x:c r="A1" s="8" t="str">
        <x:v>Winter Park Revenue Cycle Reference Workbook 2 of 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Tab</x:v>
      </x:c>
      <x:c r="B3" s="10" t="str">
        <x:v>Content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Payer_Mix</x:v>
      </x:c>
      <x:c r="B4" s="4" t="str">
        <x:v>Payer distribution and collection-rate context.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Payment_Detail</x:v>
      </x:c>
      <x:c r="B5" s="4" t="str">
        <x:v>Monthly payment detail by payer. Grand total ties to Reference_Workbook_1.xlsx AR_Rollforward Payments Posted within $0.01.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Denial_Detail</x:v>
      </x:c>
      <x:c r="B6" s="4" t="str">
        <x:v>Monthly submitted claims, denied claims, denied dollars, and recoverable-denial estimate support.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Fee_Schedule_Change</x:v>
      </x:c>
      <x:c r="B7" s="4" t="str">
        <x:v>Pre-change and post-change expected collection rates by payer, effective date, gross charge bases, and blended expected collection rates.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Benchmarks</x:v>
      </x:c>
      <x:c r="B8" s="4" t="str">
        <x:v>Internal leadership targets and prompt-specific thresholds for revenue cycle performance.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Operational_Notes</x:v>
      </x:c>
      <x:c r="B9" s="4" t="str">
        <x:v>Timeline and operational context for process changes and billing staffing constraints.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 t="str">
        <x:v>Data_Dictionary</x:v>
      </x:c>
      <x:c r="B10" s="4" t="str">
        <x:v>Metric definitions and formula guidance.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8" hidden="0" customWidth="1"/>
    <x:col min="4" max="4" width="74" hidden="0" customWidth="1"/>
    <x:col min="5" max="5" width="48" hidden="0" customWidth="1"/>
  </x:cols>
  <x:sheetData>
    <x:row r="1" ht="24" customHeight="1">
      <x:c r="A1" s="8" t="str">
        <x:v>Payer Mix and Expected Collection Rates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Payer Type</x:v>
      </x:c>
      <x:c r="B3" s="10" t="str">
        <x:v>Share of Net Patient Revenue</x:v>
      </x:c>
      <x:c r="C3" s="10" t="str">
        <x:v>Baseline Estimated Collection Rate</x:v>
      </x:c>
      <x:c r="D3" s="10" t="str">
        <x:v>Operational Consideration</x:v>
      </x:c>
      <x:c r="E3" s="10" t="str">
        <x:v>Link to Fee Schedule Tab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Medicare</x:v>
      </x:c>
      <x:c r="B4" s="14" t="n">
        <x:v>0.38</x:v>
      </x:c>
      <x:c r="C4" s="14" t="n">
        <x:v>0.93</x:v>
      </x:c>
      <x:c r="D4" s="4" t="str">
        <x:v>High volume payer with relatively predictable payment rules and documentation requirements.</x:v>
      </x:c>
      <x:c r="E4" s="4" t="str">
        <x:v>Use Fee_Schedule_Change for required pre/post/blended calculation.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Commercial Insurance</x:v>
      </x:c>
      <x:c r="B5" s="14" t="n">
        <x:v>0.34</x:v>
      </x:c>
      <x:c r="C5" s="14" t="n">
        <x:v>0.96</x:v>
      </x:c>
      <x:c r="D5" s="4" t="str">
        <x:v>Highest expected collection rate, but prior authorization and eligibility issues can delay payment.</x:v>
      </x:c>
      <x:c r="E5" s="4" t="str">
        <x:v>Use Fee_Schedule_Change for required pre/post/blended calculation.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Medicaid</x:v>
      </x:c>
      <x:c r="B6" s="14" t="n">
        <x:v>0.18</x:v>
      </x:c>
      <x:c r="C6" s="14" t="n">
        <x:v>0.88</x:v>
      </x:c>
      <x:c r="D6" s="4" t="str">
        <x:v>Lower collection rate and higher administrative follow-up burden.</x:v>
      </x:c>
      <x:c r="E6" s="4" t="str">
        <x:v>Use Fee_Schedule_Change for required pre/post/blended calculation.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Self-Pay</x:v>
      </x:c>
      <x:c r="B7" s="14" t="n">
        <x:v>0.1</x:v>
      </x:c>
      <x:c r="C7" s="14" t="n">
        <x:v>0.62</x:v>
      </x:c>
      <x:c r="D7" s="4" t="str">
        <x:v>Lowest collection rate; patient statements, payment plans, and point-of-service collections are important.</x:v>
      </x:c>
      <x:c r="E7" s="4" t="str">
        <x:v>Use Fee_Schedule_Change for required pre/post/blended calculation.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30" hidden="0" customWidth="1"/>
    <x:col min="5" max="5" width="18" hidden="0" customWidth="1"/>
    <x:col min="6" max="6" width="66" hidden="0" customWidth="1"/>
  </x:cols>
  <x:sheetData>
    <x:row r="1" ht="24" customHeight="1">
      <x:c r="A1" s="8" t="str">
        <x:v>Payment Detail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Payment Month</x:v>
      </x:c>
      <x:c r="B3" s="10" t="str">
        <x:v>Month End</x:v>
      </x:c>
      <x:c r="C3" s="10" t="str">
        <x:v>Payer Type</x:v>
      </x:c>
      <x:c r="D3" s="10" t="str">
        <x:v>Payment Category</x:v>
      </x:c>
      <x:c r="E3" s="10" t="str">
        <x:v>Payments Posted</x:v>
      </x:c>
      <x:c r="F3" s="10" t="str">
        <x:v>Source Use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Jan</x:v>
      </x:c>
      <x:c r="B4" s="16" t="n">
        <x:v>46053</x:v>
      </x:c>
      <x:c r="C4" s="4" t="str">
        <x:v>Medicare</x:v>
      </x:c>
      <x:c r="D4" s="4" t="str">
        <x:v>Posted patient/payer payment</x:v>
      </x:c>
      <x:c r="E4" s="18" t="n">
        <x:v>165300</x:v>
      </x:c>
      <x:c r="F4" s="4" t="str">
        <x:v>Tie to Reference_Workbook_1.xlsx AR_Rollforward Payments Posted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Jan</x:v>
      </x:c>
      <x:c r="B5" s="16" t="n">
        <x:v>46053</x:v>
      </x:c>
      <x:c r="C5" s="4" t="str">
        <x:v>Commercial Insurance</x:v>
      </x:c>
      <x:c r="D5" s="4" t="str">
        <x:v>Posted patient/payer payment</x:v>
      </x:c>
      <x:c r="E5" s="18" t="n">
        <x:v>147900</x:v>
      </x:c>
      <x:c r="F5" s="4" t="str">
        <x:v>Tie to Reference_Workbook_1.xlsx AR_Rollforward Payments Posted</x:v>
      </x:c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Jan</x:v>
      </x:c>
      <x:c r="B6" s="16" t="n">
        <x:v>46053</x:v>
      </x:c>
      <x:c r="C6" s="4" t="str">
        <x:v>Medicaid</x:v>
      </x:c>
      <x:c r="D6" s="4" t="str">
        <x:v>Posted patient/payer payment</x:v>
      </x:c>
      <x:c r="E6" s="18" t="n">
        <x:v>78300</x:v>
      </x:c>
      <x:c r="F6" s="4" t="str">
        <x:v>Tie to Reference_Workbook_1.xlsx AR_Rollforward Payments Posted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Jan</x:v>
      </x:c>
      <x:c r="B7" s="16" t="n">
        <x:v>46053</x:v>
      </x:c>
      <x:c r="C7" s="4" t="str">
        <x:v>Self-Pay</x:v>
      </x:c>
      <x:c r="D7" s="4" t="str">
        <x:v>Posted patient/payer payment</x:v>
      </x:c>
      <x:c r="E7" s="18" t="n">
        <x:v>43500</x:v>
      </x:c>
      <x:c r="F7" s="4" t="str">
        <x:v>Tie to Reference_Workbook_1.xlsx AR_Rollforward Payments Posted</x:v>
      </x:c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Feb</x:v>
      </x:c>
      <x:c r="B8" s="16" t="n">
        <x:v>46081</x:v>
      </x:c>
      <x:c r="C8" s="4" t="str">
        <x:v>Medicare</x:v>
      </x:c>
      <x:c r="D8" s="4" t="str">
        <x:v>Posted patient/payer payment</x:v>
      </x:c>
      <x:c r="E8" s="18" t="n">
        <x:v>155800</x:v>
      </x:c>
      <x:c r="F8" s="4" t="str">
        <x:v>Tie to Reference_Workbook_1.xlsx AR_Rollforward Payments Posted</x:v>
      </x:c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Feb</x:v>
      </x:c>
      <x:c r="B9" s="16" t="n">
        <x:v>46081</x:v>
      </x:c>
      <x:c r="C9" s="4" t="str">
        <x:v>Commercial Insurance</x:v>
      </x:c>
      <x:c r="D9" s="4" t="str">
        <x:v>Posted patient/payer payment</x:v>
      </x:c>
      <x:c r="E9" s="18" t="n">
        <x:v>139400</x:v>
      </x:c>
      <x:c r="F9" s="4" t="str">
        <x:v>Tie to Reference_Workbook_1.xlsx AR_Rollforward Payments Posted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 t="str">
        <x:v>Feb</x:v>
      </x:c>
      <x:c r="B10" s="16" t="n">
        <x:v>46081</x:v>
      </x:c>
      <x:c r="C10" s="4" t="str">
        <x:v>Medicaid</x:v>
      </x:c>
      <x:c r="D10" s="4" t="str">
        <x:v>Posted patient/payer payment</x:v>
      </x:c>
      <x:c r="E10" s="18" t="n">
        <x:v>73800</x:v>
      </x:c>
      <x:c r="F10" s="4" t="str">
        <x:v>Tie to Reference_Workbook_1.xlsx AR_Rollforward Payments Posted</x:v>
      </x:c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 t="str">
        <x:v>Feb</x:v>
      </x:c>
      <x:c r="B11" s="16" t="n">
        <x:v>46081</x:v>
      </x:c>
      <x:c r="C11" s="4" t="str">
        <x:v>Self-Pay</x:v>
      </x:c>
      <x:c r="D11" s="4" t="str">
        <x:v>Posted patient/payer payment</x:v>
      </x:c>
      <x:c r="E11" s="18" t="n">
        <x:v>41000</x:v>
      </x:c>
      <x:c r="F11" s="4" t="str">
        <x:v>Tie to Reference_Workbook_1.xlsx AR_Rollforward Payments Posted</x:v>
      </x:c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 t="str">
        <x:v>Mar</x:v>
      </x:c>
      <x:c r="B12" s="16" t="n">
        <x:v>46112</x:v>
      </x:c>
      <x:c r="C12" s="4" t="str">
        <x:v>Medicare</x:v>
      </x:c>
      <x:c r="D12" s="4" t="str">
        <x:v>Posted patient/payer payment</x:v>
      </x:c>
      <x:c r="E12" s="18" t="n">
        <x:v>157700</x:v>
      </x:c>
      <x:c r="F12" s="4" t="str">
        <x:v>Tie to Reference_Workbook_1.xlsx AR_Rollforward Payments Posted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 t="str">
        <x:v>Mar</x:v>
      </x:c>
      <x:c r="B13" s="16" t="n">
        <x:v>46112</x:v>
      </x:c>
      <x:c r="C13" s="4" t="str">
        <x:v>Commercial Insurance</x:v>
      </x:c>
      <x:c r="D13" s="4" t="str">
        <x:v>Posted patient/payer payment</x:v>
      </x:c>
      <x:c r="E13" s="18" t="n">
        <x:v>141100</x:v>
      </x:c>
      <x:c r="F13" s="4" t="str">
        <x:v>Tie to Reference_Workbook_1.xlsx AR_Rollforward Payments Posted</x:v>
      </x:c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 t="str">
        <x:v>Mar</x:v>
      </x:c>
      <x:c r="B14" s="16" t="n">
        <x:v>46112</x:v>
      </x:c>
      <x:c r="C14" s="4" t="str">
        <x:v>Medicaid</x:v>
      </x:c>
      <x:c r="D14" s="4" t="str">
        <x:v>Posted patient/payer payment</x:v>
      </x:c>
      <x:c r="E14" s="18" t="n">
        <x:v>74700</x:v>
      </x:c>
      <x:c r="F14" s="4" t="str">
        <x:v>Tie to Reference_Workbook_1.xlsx AR_Rollforward Payments Posted</x:v>
      </x:c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 t="str">
        <x:v>Mar</x:v>
      </x:c>
      <x:c r="B15" s="16" t="n">
        <x:v>46112</x:v>
      </x:c>
      <x:c r="C15" s="4" t="str">
        <x:v>Self-Pay</x:v>
      </x:c>
      <x:c r="D15" s="4" t="str">
        <x:v>Posted patient/payer payment</x:v>
      </x:c>
      <x:c r="E15" s="18" t="n">
        <x:v>41500</x:v>
      </x:c>
      <x:c r="F15" s="4" t="str">
        <x:v>Tie to Reference_Workbook_1.xlsx AR_Rollforward Payments Posted</x:v>
      </x:c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 t="str">
        <x:v>Apr</x:v>
      </x:c>
      <x:c r="B16" s="16" t="n">
        <x:v>46142</x:v>
      </x:c>
      <x:c r="C16" s="4" t="str">
        <x:v>Medicare</x:v>
      </x:c>
      <x:c r="D16" s="4" t="str">
        <x:v>Posted patient/payer payment</x:v>
      </x:c>
      <x:c r="E16" s="18" t="n">
        <x:v>159600</x:v>
      </x:c>
      <x:c r="F16" s="4" t="str">
        <x:v>Tie to Reference_Workbook_1.xlsx AR_Rollforward Payments Posted</x:v>
      </x:c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 t="str">
        <x:v>Apr</x:v>
      </x:c>
      <x:c r="B17" s="16" t="n">
        <x:v>46142</x:v>
      </x:c>
      <x:c r="C17" s="4" t="str">
        <x:v>Commercial Insurance</x:v>
      </x:c>
      <x:c r="D17" s="4" t="str">
        <x:v>Posted patient/payer payment</x:v>
      </x:c>
      <x:c r="E17" s="18" t="n">
        <x:v>142800</x:v>
      </x:c>
      <x:c r="F17" s="4" t="str">
        <x:v>Tie to Reference_Workbook_1.xlsx AR_Rollforward Payments Posted</x:v>
      </x:c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 t="str">
        <x:v>Apr</x:v>
      </x:c>
      <x:c r="B18" s="16" t="n">
        <x:v>46142</x:v>
      </x:c>
      <x:c r="C18" s="4" t="str">
        <x:v>Medicaid</x:v>
      </x:c>
      <x:c r="D18" s="4" t="str">
        <x:v>Posted patient/payer payment</x:v>
      </x:c>
      <x:c r="E18" s="18" t="n">
        <x:v>75600</x:v>
      </x:c>
      <x:c r="F18" s="4" t="str">
        <x:v>Tie to Reference_Workbook_1.xlsx AR_Rollforward Payments Posted</x:v>
      </x:c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 t="str">
        <x:v>Apr</x:v>
      </x:c>
      <x:c r="B19" s="16" t="n">
        <x:v>46142</x:v>
      </x:c>
      <x:c r="C19" s="4" t="str">
        <x:v>Self-Pay</x:v>
      </x:c>
      <x:c r="D19" s="4" t="str">
        <x:v>Posted patient/payer payment</x:v>
      </x:c>
      <x:c r="E19" s="18" t="n">
        <x:v>42000</x:v>
      </x:c>
      <x:c r="F19" s="4" t="str">
        <x:v>Tie to Reference_Workbook_1.xlsx AR_Rollforward Payments Posted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 t="str">
        <x:v>May</x:v>
      </x:c>
      <x:c r="B20" s="16" t="n">
        <x:v>46173</x:v>
      </x:c>
      <x:c r="C20" s="4" t="str">
        <x:v>Medicare</x:v>
      </x:c>
      <x:c r="D20" s="4" t="str">
        <x:v>Posted patient/payer payment</x:v>
      </x:c>
      <x:c r="E20" s="18" t="n">
        <x:v>167200</x:v>
      </x:c>
      <x:c r="F20" s="4" t="str">
        <x:v>Tie to Reference_Workbook_1.xlsx AR_Rollforward Payments Posted</x:v>
      </x:c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 t="str">
        <x:v>May</x:v>
      </x:c>
      <x:c r="B21" s="16" t="n">
        <x:v>46173</x:v>
      </x:c>
      <x:c r="C21" s="4" t="str">
        <x:v>Commercial Insurance</x:v>
      </x:c>
      <x:c r="D21" s="4" t="str">
        <x:v>Posted patient/payer payment</x:v>
      </x:c>
      <x:c r="E21" s="18" t="n">
        <x:v>149600</x:v>
      </x:c>
      <x:c r="F21" s="4" t="str">
        <x:v>Tie to Reference_Workbook_1.xlsx AR_Rollforward Payments Posted</x:v>
      </x:c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 t="str">
        <x:v>May</x:v>
      </x:c>
      <x:c r="B22" s="16" t="n">
        <x:v>46173</x:v>
      </x:c>
      <x:c r="C22" s="4" t="str">
        <x:v>Medicaid</x:v>
      </x:c>
      <x:c r="D22" s="4" t="str">
        <x:v>Posted patient/payer payment</x:v>
      </x:c>
      <x:c r="E22" s="18" t="n">
        <x:v>79200</x:v>
      </x:c>
      <x:c r="F22" s="4" t="str">
        <x:v>Tie to Reference_Workbook_1.xlsx AR_Rollforward Payments Posted</x:v>
      </x:c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 t="str">
        <x:v>May</x:v>
      </x:c>
      <x:c r="B23" s="16" t="n">
        <x:v>46173</x:v>
      </x:c>
      <x:c r="C23" s="4" t="str">
        <x:v>Self-Pay</x:v>
      </x:c>
      <x:c r="D23" s="4" t="str">
        <x:v>Posted patient/payer payment</x:v>
      </x:c>
      <x:c r="E23" s="18" t="n">
        <x:v>44000</x:v>
      </x:c>
      <x:c r="F23" s="4" t="str">
        <x:v>Tie to Reference_Workbook_1.xlsx AR_Rollforward Payments Posted</x:v>
      </x:c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 t="str">
        <x:v>Jun</x:v>
      </x:c>
      <x:c r="B24" s="16" t="n">
        <x:v>46203</x:v>
      </x:c>
      <x:c r="C24" s="4" t="str">
        <x:v>Medicare</x:v>
      </x:c>
      <x:c r="D24" s="4" t="str">
        <x:v>Posted patient/payer payment</x:v>
      </x:c>
      <x:c r="E24" s="18" t="n">
        <x:v>169100</x:v>
      </x:c>
      <x:c r="F24" s="4" t="str">
        <x:v>Tie to Reference_Workbook_1.xlsx AR_Rollforward Payments Posted</x:v>
      </x:c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 t="str">
        <x:v>Jun</x:v>
      </x:c>
      <x:c r="B25" s="16" t="n">
        <x:v>46203</x:v>
      </x:c>
      <x:c r="C25" s="4" t="str">
        <x:v>Commercial Insurance</x:v>
      </x:c>
      <x:c r="D25" s="4" t="str">
        <x:v>Posted patient/payer payment</x:v>
      </x:c>
      <x:c r="E25" s="18" t="n">
        <x:v>151300</x:v>
      </x:c>
      <x:c r="F25" s="4" t="str">
        <x:v>Tie to Reference_Workbook_1.xlsx AR_Rollforward Payments Posted</x:v>
      </x:c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 t="str">
        <x:v>Jun</x:v>
      </x:c>
      <x:c r="B26" s="16" t="n">
        <x:v>46203</x:v>
      </x:c>
      <x:c r="C26" s="4" t="str">
        <x:v>Medicaid</x:v>
      </x:c>
      <x:c r="D26" s="4" t="str">
        <x:v>Posted patient/payer payment</x:v>
      </x:c>
      <x:c r="E26" s="18" t="n">
        <x:v>80100</x:v>
      </x:c>
      <x:c r="F26" s="4" t="str">
        <x:v>Tie to Reference_Workbook_1.xlsx AR_Rollforward Payments Posted</x:v>
      </x:c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 t="str">
        <x:v>Jun</x:v>
      </x:c>
      <x:c r="B27" s="16" t="n">
        <x:v>46203</x:v>
      </x:c>
      <x:c r="C27" s="4" t="str">
        <x:v>Self-Pay</x:v>
      </x:c>
      <x:c r="D27" s="4" t="str">
        <x:v>Posted patient/payer payment</x:v>
      </x:c>
      <x:c r="E27" s="18" t="n">
        <x:v>44500</x:v>
      </x:c>
      <x:c r="F27" s="4" t="str">
        <x:v>Tie to Reference_Workbook_1.xlsx AR_Rollforward Payments Posted</x:v>
      </x:c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 t="str">
        <x:v>Grand Total Payments Posted</x:v>
      </x:c>
      <x:c r="B29" s="18" t="n">
        <x:f>SUM(E4:E27)</x:f>
        <x:v>2565000</x:v>
      </x:c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 t="str">
        <x:v>Tie Target in Reference_Workbook_1 AR_Rollforward</x:v>
      </x:c>
      <x:c r="B30" s="18" t="n">
        <x:v>2565000</x:v>
      </x:c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 t="str">
        <x:v>Variance</x:v>
      </x:c>
      <x:c r="B31" s="18" t="n">
        <x:f>ROUND(B29-B30,2)</x:f>
        <x:v>0</x:v>
      </x:c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 t="str">
        <x:v>Tie Status</x:v>
      </x:c>
      <x:c r="B32" s="4" t="str">
        <x:f>IF(ABS(B31)&lt;=0.01,"Ties within $0.01","Variance exceeds $0.01")</x:f>
        <x:v>Ties within $0.01</x:v>
      </x:c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0" hidden="0" customWidth="1"/>
    <x:col min="9" max="9" width="24" hidden="0" customWidth="1"/>
    <x:col min="10" max="10" width="48" hidden="0" customWidth="1"/>
  </x:cols>
  <x:sheetData>
    <x:row r="1" ht="24" customHeight="1">
      <x:c r="A1" s="8" t="str">
        <x:v>Denial Detail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Month</x:v>
      </x:c>
      <x:c r="B3" s="10" t="str">
        <x:v>Month End</x:v>
      </x:c>
      <x:c r="C3" s="10" t="str">
        <x:v>Submitted Claims Count</x:v>
      </x:c>
      <x:c r="D3" s="10" t="str">
        <x:v>Denied Claims Count</x:v>
      </x:c>
      <x:c r="E3" s="10" t="str">
        <x:v>Denied Claims ($)</x:v>
      </x:c>
      <x:c r="F3" s="10" t="str">
        <x:v>Claim Count Denial Rate</x:v>
      </x:c>
      <x:c r="G3" s="10" t="str">
        <x:v>Dollar Denial Rate</x:v>
      </x:c>
      <x:c r="H3" s="10" t="str">
        <x:v>Likely Recoverable %</x:v>
      </x:c>
      <x:c r="I3" s="10" t="str">
        <x:v>Estimated Recoverable Dollars</x:v>
      </x:c>
      <x:c r="J3" s="10" t="str">
        <x:v>Primary Denial Driver</x:v>
      </x:c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Jan</x:v>
      </x:c>
      <x:c r="B4" s="16" t="n">
        <x:v>46053</x:v>
      </x:c>
      <x:c r="C4" s="20" t="n">
        <x:v>1820</x:v>
      </x:c>
      <x:c r="D4" s="20" t="n">
        <x:v>142</x:v>
      </x:c>
      <x:c r="E4" s="18" t="n">
        <x:v>38000</x:v>
      </x:c>
      <x:c r="F4" s="14" t="n">
        <x:v>0.07802197802197802</x:v>
      </x:c>
      <x:c r="G4" s="14" t="n">
        <x:v>0.046341463414634146</x:v>
      </x:c>
      <x:c r="H4" s="14" t="n">
        <x:v>0.6</x:v>
      </x:c>
      <x:c r="I4" s="18" t="n">
        <x:v>22800</x:v>
      </x:c>
      <x:c r="J4" s="4" t="str">
        <x:v>Eligibility and registration mismatches</x:v>
      </x:c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Feb</x:v>
      </x:c>
      <x:c r="B5" s="16" t="n">
        <x:v>46081</x:v>
      </x:c>
      <x:c r="C5" s="20" t="n">
        <x:v>1765</x:v>
      </x:c>
      <x:c r="D5" s="20" t="n">
        <x:v>151</x:v>
      </x:c>
      <x:c r="E5" s="18" t="n">
        <x:v>42000</x:v>
      </x:c>
      <x:c r="F5" s="14" t="n">
        <x:v>0.08555240793201133</x:v>
      </x:c>
      <x:c r="G5" s="14" t="n">
        <x:v>0.053164556962025315</x:v>
      </x:c>
      <x:c r="H5" s="14" t="n">
        <x:v>0.6</x:v>
      </x:c>
      <x:c r="I5" s="18" t="n">
        <x:v>25200</x:v>
      </x:c>
      <x:c r="J5" s="4" t="str">
        <x:v>Eligibility and prior authorization</x:v>
      </x:c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Mar</x:v>
      </x:c>
      <x:c r="B6" s="16" t="n">
        <x:v>46112</x:v>
      </x:c>
      <x:c r="C6" s="20" t="n">
        <x:v>1850</x:v>
      </x:c>
      <x:c r="D6" s="20" t="n">
        <x:v>174</x:v>
      </x:c>
      <x:c r="E6" s="18" t="n">
        <x:v>51000</x:v>
      </x:c>
      <x:c r="F6" s="14" t="n">
        <x:v>0.09405405405405405</x:v>
      </x:c>
      <x:c r="G6" s="14" t="n">
        <x:v>0.06035502958579882</x:v>
      </x:c>
      <x:c r="H6" s="14" t="n">
        <x:v>0.6</x:v>
      </x:c>
      <x:c r="I6" s="18" t="n">
        <x:v>30600</x:v>
      </x:c>
      <x:c r="J6" s="4" t="str">
        <x:v>Coding edits and missing documentation</x:v>
      </x:c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Apr</x:v>
      </x:c>
      <x:c r="B7" s="16" t="n">
        <x:v>46142</x:v>
      </x:c>
      <x:c r="C7" s="20" t="n">
        <x:v>1905</x:v>
      </x:c>
      <x:c r="D7" s="20" t="n">
        <x:v>189</x:v>
      </x:c>
      <x:c r="E7" s="18" t="n">
        <x:v>56000</x:v>
      </x:c>
      <x:c r="F7" s="14" t="n">
        <x:v>0.09921259842519685</x:v>
      </x:c>
      <x:c r="G7" s="14" t="n">
        <x:v>0.06436781609195402</x:v>
      </x:c>
      <x:c r="H7" s="14" t="n">
        <x:v>0.6</x:v>
      </x:c>
      <x:c r="I7" s="18" t="n">
        <x:v>33600</x:v>
      </x:c>
      <x:c r="J7" s="4" t="str">
        <x:v>Eligibility process transition errors</x:v>
      </x:c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May</x:v>
      </x:c>
      <x:c r="B8" s="16" t="n">
        <x:v>46173</x:v>
      </x:c>
      <x:c r="C8" s="20" t="n">
        <x:v>1950</x:v>
      </x:c>
      <x:c r="D8" s="20" t="n">
        <x:v>206</x:v>
      </x:c>
      <x:c r="E8" s="18" t="n">
        <x:v>63000</x:v>
      </x:c>
      <x:c r="F8" s="14" t="n">
        <x:v>0.10564102564102563</x:v>
      </x:c>
      <x:c r="G8" s="14" t="n">
        <x:v>0.07078651685393259</x:v>
      </x:c>
      <x:c r="H8" s="14" t="n">
        <x:v>0.6</x:v>
      </x:c>
      <x:c r="I8" s="18" t="n">
        <x:v>37800</x:v>
      </x:c>
      <x:c r="J8" s="4" t="str">
        <x:v>Billing vacancy and payer follow-up delays</x:v>
      </x:c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Jun</x:v>
      </x:c>
      <x:c r="B9" s="16" t="n">
        <x:v>46203</x:v>
      </x:c>
      <x:c r="C9" s="20" t="n">
        <x:v>1985</x:v>
      </x:c>
      <x:c r="D9" s="20" t="n">
        <x:v>218</x:v>
      </x:c>
      <x:c r="E9" s="18" t="n">
        <x:v>68000</x:v>
      </x:c>
      <x:c r="F9" s="14" t="n">
        <x:v>0.10982367758186398</x:v>
      </x:c>
      <x:c r="G9" s="14" t="n">
        <x:v>0.07513812154696133</x:v>
      </x:c>
      <x:c r="H9" s="14" t="n">
        <x:v>0.6</x:v>
      </x:c>
      <x:c r="I9" s="18" t="n">
        <x:v>40800</x:v>
      </x:c>
      <x:c r="J9" s="4" t="str">
        <x:v>Eligibility, coding, and untimely follow-up</x:v>
      </x:c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 t="str">
        <x:v>Total Denied Claims ($)</x:v>
      </x:c>
      <x:c r="B11" s="18" t="n">
        <x:v>318000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 t="str">
        <x:v>Total Gross Charges</x:v>
      </x:c>
      <x:c r="B12" s="18" t="n">
        <x:v>5120000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 t="str">
        <x:v>Six-Month Dollar Denial Rate</x:v>
      </x:c>
      <x:c r="B13" s="14" t="n">
        <x:f>B11/B12</x:f>
        <x:v>0.062109375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 t="str">
        <x:v>Prompt Significance Threshold</x:v>
      </x:c>
      <x:c r="B14" s="14" t="n">
        <x:v>0.05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 t="str">
        <x:v>Recoverable Dollars Above 5% Threshold</x:v>
      </x:c>
      <x:c r="B15" s="18" t="n">
        <x:f>MAX(0,B11-(B14*B12))</x:f>
        <x:v>62000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2" hidden="0" customWidth="1"/>
    <x:col min="4" max="4" width="32" hidden="0" customWidth="1"/>
    <x:col min="5" max="5" width="24" hidden="0" customWidth="1"/>
    <x:col min="6" max="6" width="24" hidden="0" customWidth="1"/>
    <x:col min="7" max="7" width="16" hidden="0" customWidth="1"/>
    <x:col min="8" max="8" width="32" hidden="0" customWidth="1"/>
    <x:col min="9" max="9" width="30" hidden="0" customWidth="1"/>
    <x:col min="10" max="10" width="52" hidden="0" customWidth="1"/>
  </x:cols>
  <x:sheetData>
    <x:row r="1" ht="24" customHeight="1">
      <x:c r="A1" s="8" t="str">
        <x:v>Fee Schedule Change - Pre/Post Expected Collection Rates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Payer Type</x:v>
      </x:c>
      <x:c r="B3" s="10" t="str">
        <x:v>Payer Mix Share</x:v>
      </x:c>
      <x:c r="C3" s="10" t="str">
        <x:v>Pre-Change Expected Collection Rate</x:v>
      </x:c>
      <x:c r="D3" s="10" t="str">
        <x:v>Post-Change Expected Collection Rate</x:v>
      </x:c>
      <x:c r="E3" s="10" t="str">
        <x:v>Pre-Change Gross Charges</x:v>
      </x:c>
      <x:c r="F3" s="10" t="str">
        <x:v>Post-Change Gross Charges</x:v>
      </x:c>
      <x:c r="G3" s="10" t="str">
        <x:v>Effective Date</x:v>
      </x:c>
      <x:c r="H3" s="10" t="str">
        <x:v>Blended Expected Collection Rate</x:v>
      </x:c>
      <x:c r="I3" s="10" t="str">
        <x:v>Weighted Blended Contribution</x:v>
      </x:c>
      <x:c r="J3" s="10" t="str">
        <x:v>Notes</x:v>
      </x:c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Medicare</x:v>
      </x:c>
      <x:c r="B4" s="14" t="n">
        <x:v>0.38</x:v>
      </x:c>
      <x:c r="C4" s="14" t="n">
        <x:v>0.94</x:v>
      </x:c>
      <x:c r="D4" s="14" t="n">
        <x:v>0.925</x:v>
      </x:c>
      <x:c r="E4" s="18" t="n">
        <x:v>611800</x:v>
      </x:c>
      <x:c r="F4" s="18" t="n">
        <x:v>1333800</x:v>
      </x:c>
      <x:c r="G4" s="16" t="n">
        <x:v>46082</x:v>
      </x:c>
      <x:c r="H4" s="14" t="n">
        <x:f>((C4*E4)+(D4*F4))/(E4+F4)</x:f>
        <x:v>0.929716796875</x:v>
      </x:c>
      <x:c r="I4" s="14" t="n">
        <x:f>B4*H4</x:f>
        <x:v>0.35329238281249997</x:v>
      </x:c>
      <x:c r="J4" s="4" t="str">
        <x:v>Use blended rate for payer-mix-adjusted expected collection.</x:v>
      </x:c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Commercial Insurance</x:v>
      </x:c>
      <x:c r="B5" s="14" t="n">
        <x:v>0.34</x:v>
      </x:c>
      <x:c r="C5" s="14" t="n">
        <x:v>0.965</x:v>
      </x:c>
      <x:c r="D5" s="14" t="n">
        <x:v>0.955</x:v>
      </x:c>
      <x:c r="E5" s="18" t="n">
        <x:v>547400</x:v>
      </x:c>
      <x:c r="F5" s="18" t="n">
        <x:v>1193400</x:v>
      </x:c>
      <x:c r="G5" s="16" t="n">
        <x:v>46082</x:v>
      </x:c>
      <x:c r="H5" s="14" t="n">
        <x:f>((C5*E5)+(D5*F5))/(E5+F5)</x:f>
        <x:v>0.95814453125</x:v>
      </x:c>
      <x:c r="I5" s="14" t="n">
        <x:f>B5*H5</x:f>
        <x:v>0.325769140625</x:v>
      </x:c>
      <x:c r="J5" s="4" t="str">
        <x:v>Use blended rate for payer-mix-adjusted expected collection.</x:v>
      </x:c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Medicaid</x:v>
      </x:c>
      <x:c r="B6" s="14" t="n">
        <x:v>0.18</x:v>
      </x:c>
      <x:c r="C6" s="14" t="n">
        <x:v>0.89</x:v>
      </x:c>
      <x:c r="D6" s="14" t="n">
        <x:v>0.875</x:v>
      </x:c>
      <x:c r="E6" s="18" t="n">
        <x:v>289800</x:v>
      </x:c>
      <x:c r="F6" s="18" t="n">
        <x:v>631800</x:v>
      </x:c>
      <x:c r="G6" s="16" t="n">
        <x:v>46082</x:v>
      </x:c>
      <x:c r="H6" s="14" t="n">
        <x:f>((C6*E6)+(D6*F6))/(E6+F6)</x:f>
        <x:v>0.879716796875</x:v>
      </x:c>
      <x:c r="I6" s="14" t="n">
        <x:f>B6*H6</x:f>
        <x:v>0.1583490234375</x:v>
      </x:c>
      <x:c r="J6" s="4" t="str">
        <x:v>Use blended rate for payer-mix-adjusted expected collection.</x:v>
      </x:c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Self-Pay</x:v>
      </x:c>
      <x:c r="B7" s="14" t="n">
        <x:v>0.1</x:v>
      </x:c>
      <x:c r="C7" s="14" t="n">
        <x:v>0.64</x:v>
      </x:c>
      <x:c r="D7" s="14" t="n">
        <x:v>0.61</x:v>
      </x:c>
      <x:c r="E7" s="18" t="n">
        <x:v>161000</x:v>
      </x:c>
      <x:c r="F7" s="18" t="n">
        <x:v>351000</x:v>
      </x:c>
      <x:c r="G7" s="16" t="n">
        <x:v>46082</x:v>
      </x:c>
      <x:c r="H7" s="14" t="n">
        <x:f>((C7*E7)+(D7*F7))/(E7+F7)</x:f>
        <x:v>0.61943359375</x:v>
      </x:c>
      <x:c r="I7" s="14" t="n">
        <x:f>B7*H7</x:f>
        <x:v>0.061943359375</x:v>
      </x:c>
      <x:c r="J7" s="4" t="str">
        <x:v>Use blended rate for payer-mix-adjusted expected collection.</x:v>
      </x:c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/>
      <x:c r="B8" s="4"/>
      <x:c r="C8" s="4"/>
      <x:c r="D8" s="4"/>
      <x:c r="E8" s="4"/>
      <x:c r="F8" s="4"/>
      <x:c r="G8" s="4"/>
      <x:c r="H8" s="14"/>
      <x:c r="I8" s="1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Weighted Blended Expected Collection Rate</x:v>
      </x:c>
      <x:c r="B9" s="4" t="n">
        <x:f>SUM(I4:I7)</x:f>
        <x:v>0.8993539062499999</x:v>
      </x:c>
      <x:c r="C9" s="4"/>
      <x:c r="D9" s="4"/>
      <x:c r="E9" s="4"/>
      <x:c r="F9" s="4"/>
      <x:c r="G9" s="4"/>
      <x:c r="H9" s="14"/>
      <x:c r="I9" s="1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 t="str">
        <x:v>Pre-Change Gross Charges Source</x:v>
      </x:c>
      <x:c r="B10" s="18" t="n">
        <x:v>1610000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 t="str">
        <x:v>Post-Change Gross Charges Source</x:v>
      </x:c>
      <x:c r="B11" s="18" t="n">
        <x:v>3510000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24" hidden="0" customWidth="1"/>
    <x:col min="4" max="4" width="64" hidden="0" customWidth="1"/>
    <x:col min="5" max="5" width="70" hidden="0" customWidth="1"/>
  </x:cols>
  <x:sheetData>
    <x:row r="1" ht="24" customHeight="1">
      <x:c r="A1" s="8" t="str">
        <x:v>Revenue Cycle Benchmark Targets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Metric</x:v>
      </x:c>
      <x:c r="B3" s="10" t="str">
        <x:v>Target</x:v>
      </x:c>
      <x:c r="C3" s="10" t="str">
        <x:v>Benchmark Direction</x:v>
      </x:c>
      <x:c r="D3" s="10" t="str">
        <x:v>Why It Matters</x:v>
      </x:c>
      <x:c r="E3" s="10" t="str">
        <x:v>Prompt / Source Note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Net Collection Rate</x:v>
      </x:c>
      <x:c r="B4" s="4" t="str">
        <x:v>95% or higher</x:v>
      </x:c>
      <x:c r="C4" s="4" t="str">
        <x:v>Higher is better</x:v>
      </x:c>
      <x:c r="D4" s="4" t="str">
        <x:v>Measures how effectively the clinic converts net patient revenue into cash.</x:v>
      </x:c>
      <x:c r="E4" s="4" t="str">
        <x:v>Net collection rate excludes contractual adjustments by using cash collections / net patient revenue.</x:v>
      </x:c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Days in Accounts Receivable</x:v>
      </x:c>
      <x:c r="B5" s="4" t="str">
        <x:v>40 days or lower</x:v>
      </x:c>
      <x:c r="C5" s="4" t="str">
        <x:v>Lower is better</x:v>
      </x:c>
      <x:c r="D5" s="4" t="str">
        <x:v>Shows how long revenue remains outstanding before collection.</x:v>
      </x:c>
      <x:c r="E5" s="4" t="str">
        <x:v>Prompt requires rolling 90-day average daily gross charge; do not use calendar-month day counts.</x:v>
      </x:c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Dollar-Based Denial Rate</x:v>
      </x:c>
      <x:c r="B6" s="4" t="str">
        <x:v>5% or lower for prompt significance; 8% or lower internal watch target</x:v>
      </x:c>
      <x:c r="C6" s="4" t="str">
        <x:v>Lower is better</x:v>
      </x:c>
      <x:c r="D6" s="4" t="str">
        <x:v>High denials delay cash flow and increase rework.</x:v>
      </x:c>
      <x:c r="E6" s="4" t="str">
        <x:v>If denial rate exceeds 5%, classify as significant and quantify dollars above 5%.</x:v>
      </x:c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Claim Count Denial Rate</x:v>
      </x:c>
      <x:c r="B7" s="4" t="str">
        <x:v>8% or lower</x:v>
      </x:c>
      <x:c r="C7" s="4" t="str">
        <x:v>Lower is better</x:v>
      </x:c>
      <x:c r="D7" s="4" t="str">
        <x:v>Reveals operational claim submission problems independent of dollar value.</x:v>
      </x:c>
      <x:c r="E7" s="4" t="str">
        <x:v>Use separately from dollar-based denial rate.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A/R Over 90 Days</x:v>
      </x:c>
      <x:c r="B8" s="4" t="str">
        <x:v>Less than 15% of total A/R</x:v>
      </x:c>
      <x:c r="C8" s="4" t="str">
        <x:v>Lower is better</x:v>
      </x:c>
      <x:c r="D8" s="4" t="str">
        <x:v>Older balances are harder to collect and may become bad debt.</x:v>
      </x:c>
      <x:c r="E8" s="4" t="str">
        <x:v>Benchmark footnote: A/R &gt;90 days should remain under 15%; Days in A/R should be under 40.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Bad Debt Write-Off Rate</x:v>
      </x:c>
      <x:c r="B9" s="4" t="str">
        <x:v>Less than 3% of Net Patient Revenue</x:v>
      </x:c>
      <x:c r="C9" s="4" t="str">
        <x:v>Lower is better</x:v>
      </x:c>
      <x:c r="D9" s="4" t="str">
        <x:v>Tracks collectability issues, especially for self-pay and patient responsibility balances.</x:v>
      </x:c>
      <x:c r="E9" s="4" t="str">
        <x:v>Use net patient revenue denominator.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 t="str">
        <x:v>Cash Collection Gap</x:v>
      </x:c>
      <x:c r="B10" s="4" t="str">
        <x:v>Should narrow over time</x:v>
      </x:c>
      <x:c r="C10" s="4" t="str">
        <x:v>Lower is better</x:v>
      </x:c>
      <x:c r="D10" s="4" t="str">
        <x:v>Persistent gaps may signal billing delays, under-collection, denials, or payer follow-up delays.</x:v>
      </x:c>
      <x:c r="E10" s="4" t="str">
        <x:v>Trend metric, not a single-month pass/fail.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 t="str">
        <x:v>Clean Claim Rate</x:v>
      </x:c>
      <x:c r="B11" s="4" t="str">
        <x:v>95% or higher</x:v>
      </x:c>
      <x:c r="C11" s="4" t="str">
        <x:v>Higher is better</x:v>
      </x:c>
      <x:c r="D11" s="4" t="str">
        <x:v>A lower rate signals claim rework and delayed payment.</x:v>
      </x:c>
      <x:c r="E11" s="4" t="str">
        <x:v>Clean claim rate = 1 - claim-count denial rate.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66" hidden="0" customWidth="1"/>
    <x:col min="4" max="4" width="56" hidden="0" customWidth="1"/>
  </x:cols>
  <x:sheetData>
    <x:row r="1" ht="24" customHeight="1">
      <x:c r="A1" s="8" t="str">
        <x:v>Operational Notes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Date / Period</x:v>
      </x:c>
      <x:c r="B3" s="10" t="str">
        <x:v>Operational Event</x:v>
      </x:c>
      <x:c r="C3" s="10" t="str">
        <x:v>Revenue Cycle Relevance</x:v>
      </x:c>
      <x:c r="D3" s="10" t="str">
        <x:v>Use in Analysis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January-February 2026</x:v>
      </x:c>
      <x:c r="B4" s="4" t="str">
        <x:v>Baseline billing operations before major process changes.</x:v>
      </x:c>
      <x:c r="C4" s="4" t="str">
        <x:v>Use as pre-change baseline for fee schedule and trend comparisons.</x:v>
      </x:c>
      <x:c r="D4" s="4" t="str">
        <x:v>Compare to March-June results without assuming causation.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March 1, 2026</x:v>
      </x:c>
      <x:c r="B5" s="4" t="str">
        <x:v>Fee schedule change effective for all payers.</x:v>
      </x:c>
      <x:c r="C5" s="4" t="str">
        <x:v>Use Fee_Schedule_Change tab to calculate post-change expected collection rates.</x:v>
      </x:c>
      <x:c r="D5" s="4" t="str">
        <x:v>Required for questions 1 and 4.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March-June 2026</x:v>
      </x:c>
      <x:c r="B6" s="4" t="str">
        <x:v>One billing specialist position vacant; overtime limited.</x:v>
      </x:c>
      <x:c r="C6" s="4" t="str">
        <x:v>Can affect claim follow-up, denial rework, and old A/R resolution.</x:v>
      </x:c>
      <x:c r="D6" s="4" t="str">
        <x:v>Use as operational context for recommendations.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April 2026</x:v>
      </x:c>
      <x:c r="B7" s="4" t="str">
        <x:v>Electronic eligibility verification workflow implemented.</x:v>
      </x:c>
      <x:c r="C7" s="4" t="str">
        <x:v>May reduce eligibility denials over time but can temporarily disrupt front-end workflow.</x:v>
      </x:c>
      <x:c r="D7" s="4" t="str">
        <x:v>Use when explaining denial trend and implementation actions.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June 30, 2026</x:v>
      </x:c>
      <x:c r="B8" s="4" t="str">
        <x:v>A/R aging snapshot confirms elevated over-90-day exposure.</x:v>
      </x:c>
      <x:c r="C8" s="4" t="str">
        <x:v>Use AR_Aging tab for monthly % A/R over 90 days.</x:v>
      </x:c>
      <x:c r="D8" s="4" t="str">
        <x:v>Compare with &lt;15% benchmark.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70" hidden="0" customWidth="1"/>
    <x:col min="4" max="4" width="70" hidden="0" customWidth="1"/>
  </x:cols>
  <x:sheetData>
    <x:row r="1" ht="24" customHeight="1">
      <x:c r="A1" s="8" t="str">
        <x:v>Metric Definitions and Formula Guidance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8" customHeight="1">
      <x:c r="A3" s="10" t="str">
        <x:v>Metric / Field</x:v>
      </x:c>
      <x:c r="B3" s="10" t="str">
        <x:v>Definition</x:v>
      </x:c>
      <x:c r="C3" s="10" t="str">
        <x:v>Formula Guidance</x:v>
      </x:c>
      <x:c r="D3" s="10" t="str">
        <x:v>Common Interpretation Issue</x:v>
      </x:c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8" customHeight="1">
      <x:c r="A4" s="4" t="str">
        <x:v>Gross Charges</x:v>
      </x:c>
      <x:c r="B4" s="4" t="str">
        <x:v>Total billed charges before adjustments.</x:v>
      </x:c>
      <x:c r="C4" s="4" t="str">
        <x:v>Provided in Reference_Workbook_1 Monthly_Financials.</x:v>
      </x:c>
      <x:c r="D4" s="4" t="str">
        <x:v>Do not treat gross charges as collectible revenue.</x:v>
      </x:c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8" customHeight="1">
      <x:c r="A5" s="4" t="str">
        <x:v>Contractual Adjustments</x:v>
      </x:c>
      <x:c r="B5" s="4" t="str">
        <x:v>Expected payer adjustments and allowed-amount reductions.</x:v>
      </x:c>
      <x:c r="C5" s="4" t="str">
        <x:v>Provided in Monthly_Financials.</x:v>
      </x:c>
      <x:c r="D5" s="4" t="str">
        <x:v>Adjustments reduce gross charges to net patient revenue.</x:v>
      </x:c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8" customHeight="1">
      <x:c r="A6" s="4" t="str">
        <x:v>Net Patient Revenue</x:v>
      </x:c>
      <x:c r="B6" s="4" t="str">
        <x:v>Revenue expected after contractual adjustments.</x:v>
      </x:c>
      <x:c r="C6" s="4" t="str">
        <x:v>Gross Charges - Contractual Adjustments, or use provided source field.</x:v>
      </x:c>
      <x:c r="D6" s="4" t="str">
        <x:v>Use as denominator for net collection and bad debt.</x:v>
      </x:c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8" customHeight="1">
      <x:c r="A7" s="4" t="str">
        <x:v>Gross Collection Rate</x:v>
      </x:c>
      <x:c r="B7" s="4" t="str">
        <x:v>Cash collections as a share of gross charges.</x:v>
      </x:c>
      <x:c r="C7" s="4" t="str">
        <x:v>Cash Collections / Gross Charges.</x:v>
      </x:c>
      <x:c r="D7" s="4" t="str">
        <x:v>Usually lower than net collection rate because gross charges include adjustments.</x:v>
      </x:c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18" customHeight="1">
      <x:c r="A8" s="4" t="str">
        <x:v>Net Collection Rate</x:v>
      </x:c>
      <x:c r="B8" s="4" t="str">
        <x:v>Cash collections as a share of net patient revenue.</x:v>
      </x:c>
      <x:c r="C8" s="4" t="str">
        <x:v>Cash Collections / Net Patient Revenue.</x:v>
      </x:c>
      <x:c r="D8" s="4" t="str">
        <x:v>Excludes contractual adjustments per clinic policy.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8" customHeight="1">
      <x:c r="A9" s="4" t="str">
        <x:v>Days in Accounts Receivable</x:v>
      </x:c>
      <x:c r="B9" s="4" t="str">
        <x:v>Estimated days of revenue tied up in A/R.</x:v>
      </x:c>
      <x:c r="C9" s="4" t="str">
        <x:v>Ending A/R / (rolling 90-day gross charges / 90).</x:v>
      </x:c>
      <x:c r="D9" s="4" t="str">
        <x:v>Prompt requires rolling 90-day denominator; calendar-month denominators are not acceptable.</x:v>
      </x:c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8" customHeight="1">
      <x:c r="A10" s="4" t="str">
        <x:v>Dollar-Based Denial Rate</x:v>
      </x:c>
      <x:c r="B10" s="4" t="str">
        <x:v>Denied claim dollars as a share of gross charges.</x:v>
      </x:c>
      <x:c r="C10" s="4" t="str">
        <x:v>Denied Claims ($) / Gross Charges.</x:v>
      </x:c>
      <x:c r="D10" s="4" t="str">
        <x:v>Use 5% threshold for prompt significance and quantify excess above 5%.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8" customHeight="1">
      <x:c r="A11" s="4" t="str">
        <x:v>Clean Claim Rate</x:v>
      </x:c>
      <x:c r="B11" s="4" t="str">
        <x:v>Share of submitted claims not denied.</x:v>
      </x:c>
      <x:c r="C11" s="4" t="str">
        <x:v>1 - (Denied Claims Count / Submitted Claims Count).</x:v>
      </x:c>
      <x:c r="D11" s="4" t="str">
        <x:v>This is a count-based operational rate, not a dollar rate.</x:v>
      </x:c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8" customHeight="1">
      <x:c r="A12" s="4" t="str">
        <x:v>A/R Over 90 Days Percentage</x:v>
      </x:c>
      <x:c r="B12" s="4" t="str">
        <x:v>Share of total A/R in the over-90-day category.</x:v>
      </x:c>
      <x:c r="C12" s="4" t="str">
        <x:v>Over 90 Days Balance / Total A/R Aging Balance.</x:v>
      </x:c>
      <x:c r="D12" s="4" t="str">
        <x:v>Benchmark target is less than 15%.</x:v>
      </x:c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8" customHeight="1">
      <x:c r="A13" s="4" t="str">
        <x:v>Payer-Mix-Adjusted Expected Collection Rate</x:v>
      </x:c>
      <x:c r="B13" s="4" t="str">
        <x:v>Expected collection performance after weighting each payer's expected rate.</x:v>
      </x:c>
      <x:c r="C13" s="4" t="str">
        <x:v>SUMPRODUCT(Payer Mix Share, Fee_Schedule_Change Blended Expected Collection Rate).</x:v>
      </x:c>
      <x:c r="D13" s="4" t="str">
        <x:v>Use pre/post fee schedule data, not one static payer rate only.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8" customHeight="1">
      <x:c r="A14" s="4" t="str">
        <x:v>A/R Roll-Forward</x:v>
      </x:c>
      <x:c r="B14" s="4" t="str">
        <x:v>Reconciliation of beginning A/R to ending A/R.</x:v>
      </x:c>
      <x:c r="C14" s="4" t="str">
        <x:v>Beginning A/R + Net Patient Revenue - Payments Posted - Bad Debt Write-Offs - Other Adjustments - Ending A/R = 0.</x:v>
      </x:c>
      <x:c r="D14" s="4" t="str">
        <x:v>Payments Posted total must tie to Workbook 2 Payment_Detail within $0.01.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8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8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8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8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8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8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8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8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8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8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8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8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8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18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18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18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18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18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8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8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18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18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18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18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18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8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8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18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18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8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8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8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8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8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8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8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8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8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8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8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8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8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8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18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18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8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8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8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18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8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8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8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8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8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8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8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8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8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8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8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8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8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8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8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8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8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8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8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8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8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8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8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8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8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8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8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8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8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8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8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8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8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8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8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8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8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8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8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8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8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8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8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8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8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8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8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8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8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8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8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8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8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8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8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8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8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8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8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8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8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8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8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8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8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8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8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8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8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8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8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8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8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8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8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8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8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8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8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8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8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8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8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8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8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8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8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8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8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8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8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8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8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8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8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8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8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8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8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8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8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8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8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8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8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8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8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8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8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8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8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8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8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8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8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8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8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8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8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8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8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8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8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8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8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8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8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8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8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8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8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8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8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8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</x:sheetData>
  <x:pageMargins left="0.7" right="0.7" top="0.75" bottom="0.75" header="0.3" footer="0.3"/>
</x:worksheet>
</file>