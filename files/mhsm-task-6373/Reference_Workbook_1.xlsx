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93f330059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947c5191bf04d7c"/>
    <x:sheet xmlns:r="http://schemas.openxmlformats.org/officeDocument/2006/relationships" name="Clinic_Profile" sheetId="2" r:id="R8386f51f27434856"/>
    <x:sheet xmlns:r="http://schemas.openxmlformats.org/officeDocument/2006/relationships" name="Monthly_Financials" sheetId="3" r:id="Rcb560e1106134a14"/>
    <x:sheet xmlns:r="http://schemas.openxmlformats.org/officeDocument/2006/relationships" name="AR_Aging" sheetId="4" r:id="Red238c79f5b64342"/>
    <x:sheet xmlns:r="http://schemas.openxmlformats.org/officeDocument/2006/relationships" name="AR_Rollforward" sheetId="5" r:id="Rb14e5f39e699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#,##0"/>
    <x:numFmt numFmtId="203" formatCode="0.0%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bef4af7194c9e" /><Relationship Type="http://schemas.openxmlformats.org/officeDocument/2006/relationships/theme" Target="/xl/theme/theme1.xml" Id="Rd3670e6b1cb04846" /><Relationship Type="http://schemas.openxmlformats.org/officeDocument/2006/relationships/sharedStrings" Target="/xl/sharedStrings.xml" Id="R19708c6248784e00" /><Relationship Type="http://schemas.openxmlformats.org/officeDocument/2006/relationships/worksheet" Target="/xl/worksheets/sheet1.xml" Id="Rb947c5191bf04d7c" /><Relationship Type="http://schemas.openxmlformats.org/officeDocument/2006/relationships/worksheet" Target="/xl/worksheets/sheet2.xml" Id="R8386f51f27434856" /><Relationship Type="http://schemas.openxmlformats.org/officeDocument/2006/relationships/worksheet" Target="/xl/worksheets/sheet3.xml" Id="Rcb560e1106134a14" /><Relationship Type="http://schemas.openxmlformats.org/officeDocument/2006/relationships/worksheet" Target="/xl/worksheets/sheet4.xml" Id="Red238c79f5b64342" /><Relationship Type="http://schemas.openxmlformats.org/officeDocument/2006/relationships/worksheet" Target="/xl/worksheets/sheet5.xml" Id="Rb14e5f39e6994c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 ht="24" customHeight="1">
      <x:c r="A1" s="8" t="str">
        <x:v>Winter Park Revenue Cycle Reference Workbook 1 of 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Tab</x:v>
      </x:c>
      <x:c r="B3" s="10" t="str">
        <x:v>Content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Clinic_Profile</x:v>
      </x:c>
      <x:c r="B4" s="4" t="str">
        <x:v>Clinic-level facts, staffing, active patients, review date, and expected deliverable context.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Monthly_Financials</x:v>
      </x:c>
      <x:c r="B5" s="4" t="str">
        <x:v>Monthly revenue cycle source data for January through June 2026.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AR_Aging</x:v>
      </x:c>
      <x:c r="B6" s="4" t="str">
        <x:v>Monthly accounts receivable aging by bucket, including Over 90 Days, so % A/R over 90 days can be computed by month.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AR_Rollforward</x:v>
      </x:c>
      <x:c r="B7" s="4" t="str">
        <x:v>Beginning A/R, monthly charges, payments posted, bad debt, other adjustments, ending A/R, and roll-forward checks. Payments Posted ties to Reference_Workbook_2.xlsx Payment_Detail within $0.01.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58" hidden="0" customWidth="1"/>
  </x:cols>
  <x:sheetData>
    <x:row r="1" ht="24" customHeight="1">
      <x:c r="A1" s="8" t="str">
        <x:v>Clinic Profile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Category</x:v>
      </x:c>
      <x:c r="B3" s="10" t="str">
        <x:v>Detail</x:v>
      </x:c>
      <x:c r="C3" s="10" t="str">
        <x:v>Value</x:v>
      </x:c>
      <x:c r="D3" s="10" t="str">
        <x:v>Notes</x:v>
      </x:c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Organization</x:v>
      </x:c>
      <x:c r="B4" s="4" t="str">
        <x:v>Clinic name</x:v>
      </x:c>
      <x:c r="C4" s="4" t="str">
        <x:v>Winter Park Primary Care Clinic</x:v>
      </x:c>
      <x:c r="D4" s="4" t="str">
        <x:v>Outpatient primary care clinic.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Location</x:v>
      </x:c>
      <x:c r="B5" s="4" t="str">
        <x:v>State</x:v>
      </x:c>
      <x:c r="C5" s="4" t="str">
        <x:v>Indiana</x:v>
      </x:c>
      <x:c r="D5" s="4" t="str">
        <x:v>Use for context only; no external state assumptions required.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Staffing</x:v>
      </x:c>
      <x:c r="B6" s="4" t="str">
        <x:v>Physicians</x:v>
      </x:c>
      <x:c r="C6" s="4" t="n">
        <x:v>3</x:v>
      </x:c>
      <x:c r="D6" s="4" t="str">
        <x:v>Three employed physicians.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Patient Base</x:v>
      </x:c>
      <x:c r="B7" s="4" t="str">
        <x:v>Active patients</x:v>
      </x:c>
      <x:c r="C7" s="4" t="n">
        <x:v>7500</x:v>
      </x:c>
      <x:c r="D7" s="4" t="str">
        <x:v>Approximate active panel.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Period</x:v>
      </x:c>
      <x:c r="B8" s="4" t="str">
        <x:v>Analysis date</x:v>
      </x:c>
      <x:c r="C8" s="14" t="n">
        <x:v>46204</x:v>
      </x:c>
      <x:c r="D8" s="4" t="str">
        <x:v>Use this date for the written analysis.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Period</x:v>
      </x:c>
      <x:c r="B9" s="4" t="str">
        <x:v>Review period</x:v>
      </x:c>
      <x:c r="C9" s="4" t="str">
        <x:v>Jan 2026-Jun 2026</x:v>
      </x:c>
      <x:c r="D9" s="4" t="str">
        <x:v>Most recent six-month fiscal review period.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 t="str">
        <x:v>Output</x:v>
      </x:c>
      <x:c r="B10" s="4" t="str">
        <x:v>Expected student deliverable</x:v>
      </x:c>
      <x:c r="C10" s="4" t="str">
        <x:v>Six_Month_Fiscal_Analysis.xlsx</x:v>
      </x:c>
      <x:c r="D10" s="4" t="str">
        <x:v>Use the prompt file for the complete deliverable specification.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22" hidden="0" customWidth="1"/>
    <x:col min="5" max="5" width="20" hidden="0" customWidth="1"/>
    <x:col min="6" max="6" width="18" hidden="0" customWidth="1"/>
    <x:col min="7" max="7" width="16" hidden="0" customWidth="1"/>
    <x:col min="8" max="8" width="18" hidden="0" customWidth="1"/>
    <x:col min="9" max="9" width="20" hidden="0" customWidth="1"/>
    <x:col min="10" max="10" width="22" hidden="0" customWidth="1"/>
    <x:col min="11" max="11" width="20" hidden="0" customWidth="1"/>
    <x:col min="12" max="12" width="16" hidden="0" customWidth="1"/>
    <x:col min="13" max="13" width="18" hidden="0" customWidth="1"/>
  </x:cols>
  <x:sheetData>
    <x:row r="1" ht="24" customHeight="1">
      <x:c r="A1" s="8" t="str">
        <x:v>Monthly Financials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Month</x:v>
      </x:c>
      <x:c r="B3" s="10" t="str">
        <x:v>Month End</x:v>
      </x:c>
      <x:c r="C3" s="10" t="str">
        <x:v>Gross Charges</x:v>
      </x:c>
      <x:c r="D3" s="10" t="str">
        <x:v>Contractual Adjustments</x:v>
      </x:c>
      <x:c r="E3" s="10" t="str">
        <x:v>Net Patient Revenue</x:v>
      </x:c>
      <x:c r="F3" s="10" t="str">
        <x:v>Cash Collections</x:v>
      </x:c>
      <x:c r="G3" s="10" t="str">
        <x:v>Ending A/R</x:v>
      </x:c>
      <x:c r="H3" s="10" t="str">
        <x:v>Denied Claims ($)</x:v>
      </x:c>
      <x:c r="I3" s="10" t="str">
        <x:v>Bad Debt Write-Offs</x:v>
      </x:c>
      <x:c r="J3" s="10" t="str">
        <x:v>Submitted Claims Count</x:v>
      </x:c>
      <x:c r="K3" s="10" t="str">
        <x:v>Denied Claims Count</x:v>
      </x:c>
      <x:c r="L3" s="10" t="str">
        <x:v>Patient Visits</x:v>
      </x:c>
      <x:c r="M3" s="10" t="str">
        <x:v>Provider Workdays</x:v>
      </x:c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Jan</x:v>
      </x:c>
      <x:c r="B4" s="14" t="n">
        <x:v>46053</x:v>
      </x:c>
      <x:c r="C4" s="16" t="n">
        <x:v>820000</x:v>
      </x:c>
      <x:c r="D4" s="16" t="n">
        <x:v>320000</x:v>
      </x:c>
      <x:c r="E4" s="16" t="n">
        <x:v>500000</x:v>
      </x:c>
      <x:c r="F4" s="16" t="n">
        <x:v>435000</x:v>
      </x:c>
      <x:c r="G4" s="16" t="n">
        <x:v>900000</x:v>
      </x:c>
      <x:c r="H4" s="16" t="n">
        <x:v>38000</x:v>
      </x:c>
      <x:c r="I4" s="16" t="n">
        <x:v>12000</x:v>
      </x:c>
      <x:c r="J4" s="18" t="n">
        <x:v>1820</x:v>
      </x:c>
      <x:c r="K4" s="18" t="n">
        <x:v>142</x:v>
      </x:c>
      <x:c r="L4" s="18" t="n">
        <x:v>2570</x:v>
      </x:c>
      <x:c r="M4" s="18" t="n">
        <x:v>62</x:v>
      </x:c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Feb</x:v>
      </x:c>
      <x:c r="B5" s="14" t="n">
        <x:v>46081</x:v>
      </x:c>
      <x:c r="C5" s="16" t="n">
        <x:v>790000</x:v>
      </x:c>
      <x:c r="D5" s="16" t="n">
        <x:v>300000</x:v>
      </x:c>
      <x:c r="E5" s="16" t="n">
        <x:v>490000</x:v>
      </x:c>
      <x:c r="F5" s="16" t="n">
        <x:v>410000</x:v>
      </x:c>
      <x:c r="G5" s="16" t="n">
        <x:v>920000</x:v>
      </x:c>
      <x:c r="H5" s="16" t="n">
        <x:v>42000</x:v>
      </x:c>
      <x:c r="I5" s="16" t="n">
        <x:v>13500</x:v>
      </x:c>
      <x:c r="J5" s="18" t="n">
        <x:v>1765</x:v>
      </x:c>
      <x:c r="K5" s="18" t="n">
        <x:v>151</x:v>
      </x:c>
      <x:c r="L5" s="18" t="n">
        <x:v>2465</x:v>
      </x:c>
      <x:c r="M5" s="18" t="n">
        <x:v>58</x:v>
      </x:c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Mar</x:v>
      </x:c>
      <x:c r="B6" s="14" t="n">
        <x:v>46112</x:v>
      </x:c>
      <x:c r="C6" s="16" t="n">
        <x:v>845000</x:v>
      </x:c>
      <x:c r="D6" s="16" t="n">
        <x:v>335000</x:v>
      </x:c>
      <x:c r="E6" s="16" t="n">
        <x:v>510000</x:v>
      </x:c>
      <x:c r="F6" s="16" t="n">
        <x:v>415000</x:v>
      </x:c>
      <x:c r="G6" s="16" t="n">
        <x:v>940000</x:v>
      </x:c>
      <x:c r="H6" s="16" t="n">
        <x:v>51000</x:v>
      </x:c>
      <x:c r="I6" s="16" t="n">
        <x:v>15000</x:v>
      </x:c>
      <x:c r="J6" s="18" t="n">
        <x:v>1850</x:v>
      </x:c>
      <x:c r="K6" s="18" t="n">
        <x:v>174</x:v>
      </x:c>
      <x:c r="L6" s="18" t="n">
        <x:v>2630</x:v>
      </x:c>
      <x:c r="M6" s="18" t="n">
        <x:v>64</x:v>
      </x:c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Apr</x:v>
      </x:c>
      <x:c r="B7" s="14" t="n">
        <x:v>46142</x:v>
      </x:c>
      <x:c r="C7" s="16" t="n">
        <x:v>870000</x:v>
      </x:c>
      <x:c r="D7" s="16" t="n">
        <x:v>350000</x:v>
      </x:c>
      <x:c r="E7" s="16" t="n">
        <x:v>520000</x:v>
      </x:c>
      <x:c r="F7" s="16" t="n">
        <x:v>420000</x:v>
      </x:c>
      <x:c r="G7" s="16" t="n">
        <x:v>935000</x:v>
      </x:c>
      <x:c r="H7" s="16" t="n">
        <x:v>56000</x:v>
      </x:c>
      <x:c r="I7" s="16" t="n">
        <x:v>16000</x:v>
      </x:c>
      <x:c r="J7" s="18" t="n">
        <x:v>1905</x:v>
      </x:c>
      <x:c r="K7" s="18" t="n">
        <x:v>189</x:v>
      </x:c>
      <x:c r="L7" s="18" t="n">
        <x:v>2705</x:v>
      </x:c>
      <x:c r="M7" s="18" t="n">
        <x:v>63</x:v>
      </x:c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May</x:v>
      </x:c>
      <x:c r="B8" s="14" t="n">
        <x:v>46173</x:v>
      </x:c>
      <x:c r="C8" s="16" t="n">
        <x:v>890000</x:v>
      </x:c>
      <x:c r="D8" s="16" t="n">
        <x:v>355000</x:v>
      </x:c>
      <x:c r="E8" s="16" t="n">
        <x:v>535000</x:v>
      </x:c>
      <x:c r="F8" s="16" t="n">
        <x:v>440000</x:v>
      </x:c>
      <x:c r="G8" s="16" t="n">
        <x:v>915000</x:v>
      </x:c>
      <x:c r="H8" s="16" t="n">
        <x:v>63000</x:v>
      </x:c>
      <x:c r="I8" s="16" t="n">
        <x:v>17500</x:v>
      </x:c>
      <x:c r="J8" s="18" t="n">
        <x:v>1950</x:v>
      </x:c>
      <x:c r="K8" s="18" t="n">
        <x:v>206</x:v>
      </x:c>
      <x:c r="L8" s="18" t="n">
        <x:v>2780</x:v>
      </x:c>
      <x:c r="M8" s="18" t="n">
        <x:v>64</x:v>
      </x:c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Jun</x:v>
      </x:c>
      <x:c r="B9" s="14" t="n">
        <x:v>46203</x:v>
      </x:c>
      <x:c r="C9" s="16" t="n">
        <x:v>905000</x:v>
      </x:c>
      <x:c r="D9" s="16" t="n">
        <x:v>360000</x:v>
      </x:c>
      <x:c r="E9" s="16" t="n">
        <x:v>545000</x:v>
      </x:c>
      <x:c r="F9" s="16" t="n">
        <x:v>445000</x:v>
      </x:c>
      <x:c r="G9" s="16" t="n">
        <x:v>920000</x:v>
      </x:c>
      <x:c r="H9" s="16" t="n">
        <x:v>68000</x:v>
      </x:c>
      <x:c r="I9" s="16" t="n">
        <x:v>18000</x:v>
      </x:c>
      <x:c r="J9" s="18" t="n">
        <x:v>1985</x:v>
      </x:c>
      <x:c r="K9" s="18" t="n">
        <x:v>218</x:v>
      </x:c>
      <x:c r="L9" s="18" t="n">
        <x:v>2825</x:v>
      </x:c>
      <x:c r="M9" s="18" t="n">
        <x:v>63</x:v>
      </x:c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0" hidden="0" customWidth="1"/>
    <x:col min="9" max="9" width="18" hidden="0" customWidth="1"/>
    <x:col min="10" max="10" width="56" hidden="0" customWidth="1"/>
  </x:cols>
  <x:sheetData>
    <x:row r="1" ht="24" customHeight="1">
      <x:c r="A1" s="8" t="str">
        <x:v>Monthly Accounts Receivable Aging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Month</x:v>
      </x:c>
      <x:c r="B3" s="10" t="str">
        <x:v>Month End</x:v>
      </x:c>
      <x:c r="C3" s="10" t="str">
        <x:v>0-30 Days</x:v>
      </x:c>
      <x:c r="D3" s="10" t="str">
        <x:v>31-60 Days</x:v>
      </x:c>
      <x:c r="E3" s="10" t="str">
        <x:v>61-90 Days</x:v>
      </x:c>
      <x:c r="F3" s="10" t="str">
        <x:v>Over 90 Days</x:v>
      </x:c>
      <x:c r="G3" s="10" t="str">
        <x:v>Total A/R Aging Balance</x:v>
      </x:c>
      <x:c r="H3" s="10" t="str">
        <x:v>Ending A/R Source Check</x:v>
      </x:c>
      <x:c r="I3" s="10" t="str">
        <x:v>% A/R Over 90 Days</x:v>
      </x:c>
      <x:c r="J3" s="10" t="str">
        <x:v>Collection Risk Note</x:v>
      </x:c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Jan</x:v>
      </x:c>
      <x:c r="B4" s="14" t="n">
        <x:v>46053</x:v>
      </x:c>
      <x:c r="C4" s="16" t="n">
        <x:v>330000</x:v>
      </x:c>
      <x:c r="D4" s="16" t="n">
        <x:v>250000</x:v>
      </x:c>
      <x:c r="E4" s="16" t="n">
        <x:v>170000</x:v>
      </x:c>
      <x:c r="F4" s="16" t="n">
        <x:v>150000</x:v>
      </x:c>
      <x:c r="G4" s="16" t="n">
        <x:v>900000</x:v>
      </x:c>
      <x:c r="H4" s="16" t="n">
        <x:v>900000</x:v>
      </x:c>
      <x:c r="I4" s="20" t="n">
        <x:v>0.16666666666666666</x:v>
      </x:c>
      <x:c r="J4" s="4" t="str">
        <x:v>Above &lt;15% benchmark; prioritize older-balance follow-up.</x:v>
      </x:c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Feb</x:v>
      </x:c>
      <x:c r="B5" s="14" t="n">
        <x:v>46081</x:v>
      </x:c>
      <x:c r="C5" s="16" t="n">
        <x:v>325000</x:v>
      </x:c>
      <x:c r="D5" s="16" t="n">
        <x:v>260000</x:v>
      </x:c>
      <x:c r="E5" s="16" t="n">
        <x:v>175000</x:v>
      </x:c>
      <x:c r="F5" s="16" t="n">
        <x:v>160000</x:v>
      </x:c>
      <x:c r="G5" s="16" t="n">
        <x:v>920000</x:v>
      </x:c>
      <x:c r="H5" s="16" t="n">
        <x:v>920000</x:v>
      </x:c>
      <x:c r="I5" s="20" t="n">
        <x:v>0.17391304347826086</x:v>
      </x:c>
      <x:c r="J5" s="4" t="str">
        <x:v>Above &lt;15% benchmark; prioritize older-balance follow-up.</x:v>
      </x:c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Mar</x:v>
      </x:c>
      <x:c r="B6" s="14" t="n">
        <x:v>46112</x:v>
      </x:c>
      <x:c r="C6" s="16" t="n">
        <x:v>320000</x:v>
      </x:c>
      <x:c r="D6" s="16" t="n">
        <x:v>265000</x:v>
      </x:c>
      <x:c r="E6" s="16" t="n">
        <x:v>180000</x:v>
      </x:c>
      <x:c r="F6" s="16" t="n">
        <x:v>175000</x:v>
      </x:c>
      <x:c r="G6" s="16" t="n">
        <x:v>940000</x:v>
      </x:c>
      <x:c r="H6" s="16" t="n">
        <x:v>940000</x:v>
      </x:c>
      <x:c r="I6" s="20" t="n">
        <x:v>0.18617021276595744</x:v>
      </x:c>
      <x:c r="J6" s="4" t="str">
        <x:v>Above &lt;15% benchmark; prioritize older-balance follow-up.</x:v>
      </x:c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Apr</x:v>
      </x:c>
      <x:c r="B7" s="14" t="n">
        <x:v>46142</x:v>
      </x:c>
      <x:c r="C7" s="16" t="n">
        <x:v>315000</x:v>
      </x:c>
      <x:c r="D7" s="16" t="n">
        <x:v>255000</x:v>
      </x:c>
      <x:c r="E7" s="16" t="n">
        <x:v>180000</x:v>
      </x:c>
      <x:c r="F7" s="16" t="n">
        <x:v>185000</x:v>
      </x:c>
      <x:c r="G7" s="16" t="n">
        <x:v>935000</x:v>
      </x:c>
      <x:c r="H7" s="16" t="n">
        <x:v>935000</x:v>
      </x:c>
      <x:c r="I7" s="20" t="n">
        <x:v>0.19786096256684493</x:v>
      </x:c>
      <x:c r="J7" s="4" t="str">
        <x:v>Above &lt;15% benchmark; prioritize older-balance follow-up.</x:v>
      </x:c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May</x:v>
      </x:c>
      <x:c r="B8" s="14" t="n">
        <x:v>46173</x:v>
      </x:c>
      <x:c r="C8" s="16" t="n">
        <x:v>310000</x:v>
      </x:c>
      <x:c r="D8" s="16" t="n">
        <x:v>250000</x:v>
      </x:c>
      <x:c r="E8" s="16" t="n">
        <x:v>165000</x:v>
      </x:c>
      <x:c r="F8" s="16" t="n">
        <x:v>190000</x:v>
      </x:c>
      <x:c r="G8" s="16" t="n">
        <x:v>915000</x:v>
      </x:c>
      <x:c r="H8" s="16" t="n">
        <x:v>915000</x:v>
      </x:c>
      <x:c r="I8" s="20" t="n">
        <x:v>0.20765027322404372</x:v>
      </x:c>
      <x:c r="J8" s="4" t="str">
        <x:v>Above &lt;15% benchmark; prioritize older-balance follow-up.</x:v>
      </x:c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Jun</x:v>
      </x:c>
      <x:c r="B9" s="14" t="n">
        <x:v>46203</x:v>
      </x:c>
      <x:c r="C9" s="16" t="n">
        <x:v>310000</x:v>
      </x:c>
      <x:c r="D9" s="16" t="n">
        <x:v>245000</x:v>
      </x:c>
      <x:c r="E9" s="16" t="n">
        <x:v>165000</x:v>
      </x:c>
      <x:c r="F9" s="16" t="n">
        <x:v>200000</x:v>
      </x:c>
      <x:c r="G9" s="16" t="n">
        <x:v>920000</x:v>
      </x:c>
      <x:c r="H9" s="16" t="n">
        <x:v>920000</x:v>
      </x:c>
      <x:c r="I9" s="20" t="n">
        <x:v>0.21739130434782608</x:v>
      </x:c>
      <x:c r="J9" s="4" t="str">
        <x:v>Above &lt;15% benchmark; prioritize older-balance follow-up.</x:v>
      </x:c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2" hidden="0" customWidth="1"/>
    <x:col min="5" max="5" width="20" hidden="0" customWidth="1"/>
    <x:col min="6" max="6" width="18" hidden="0" customWidth="1"/>
    <x:col min="7" max="7" width="20" hidden="0" customWidth="1"/>
    <x:col min="8" max="8" width="18" hidden="0" customWidth="1"/>
    <x:col min="9" max="9" width="16" hidden="0" customWidth="1"/>
    <x:col min="10" max="10" width="18" hidden="0" customWidth="1"/>
    <x:col min="11" max="11" width="50" hidden="0" customWidth="1"/>
  </x:cols>
  <x:sheetData>
    <x:row r="1" ht="24" customHeight="1">
      <x:c r="A1" s="8" t="str">
        <x:v>A/R Roll-Forward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Month</x:v>
      </x:c>
      <x:c r="B3" s="10" t="str">
        <x:v>Beginning A/R</x:v>
      </x:c>
      <x:c r="C3" s="10" t="str">
        <x:v>Gross Charges</x:v>
      </x:c>
      <x:c r="D3" s="10" t="str">
        <x:v>Contractual Adjustments</x:v>
      </x:c>
      <x:c r="E3" s="10" t="str">
        <x:v>Net Patient Revenue</x:v>
      </x:c>
      <x:c r="F3" s="10" t="str">
        <x:v>Payments Posted</x:v>
      </x:c>
      <x:c r="G3" s="10" t="str">
        <x:v>Bad Debt Write-Offs</x:v>
      </x:c>
      <x:c r="H3" s="10" t="str">
        <x:v>Other Adjustments</x:v>
      </x:c>
      <x:c r="I3" s="10" t="str">
        <x:v>Ending A/R</x:v>
      </x:c>
      <x:c r="J3" s="10" t="str">
        <x:v>Roll-Forward Check</x:v>
      </x:c>
      <x:c r="K3" s="10" t="str">
        <x:v>Workbook 2 Payment Source</x:v>
      </x:c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Jan</x:v>
      </x:c>
      <x:c r="B4" s="16" t="n">
        <x:v>850000</x:v>
      </x:c>
      <x:c r="C4" s="16" t="n">
        <x:v>820000</x:v>
      </x:c>
      <x:c r="D4" s="16" t="n">
        <x:v>320000</x:v>
      </x:c>
      <x:c r="E4" s="16" t="n">
        <x:v>500000</x:v>
      </x:c>
      <x:c r="F4" s="16" t="n">
        <x:v>435000</x:v>
      </x:c>
      <x:c r="G4" s="16" t="n">
        <x:v>12000</x:v>
      </x:c>
      <x:c r="H4" s="16" t="n">
        <x:v>3000</x:v>
      </x:c>
      <x:c r="I4" s="16" t="n">
        <x:v>900000</x:v>
      </x:c>
      <x:c r="J4" s="16" t="n">
        <x:f>ROUND(B4+E4-F4-G4-H4-I4,2)</x:f>
        <x:v>0</x:v>
      </x:c>
      <x:c r="K4" s="4" t="str">
        <x:v>Reference_Workbook_2.xlsx!Payment_Detail month total for Jan</x:v>
      </x:c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Feb</x:v>
      </x:c>
      <x:c r="B5" s="16" t="n">
        <x:v>900000</x:v>
      </x:c>
      <x:c r="C5" s="16" t="n">
        <x:v>790000</x:v>
      </x:c>
      <x:c r="D5" s="16" t="n">
        <x:v>300000</x:v>
      </x:c>
      <x:c r="E5" s="16" t="n">
        <x:v>490000</x:v>
      </x:c>
      <x:c r="F5" s="16" t="n">
        <x:v>410000</x:v>
      </x:c>
      <x:c r="G5" s="16" t="n">
        <x:v>13500</x:v>
      </x:c>
      <x:c r="H5" s="16" t="n">
        <x:v>46500</x:v>
      </x:c>
      <x:c r="I5" s="16" t="n">
        <x:v>920000</x:v>
      </x:c>
      <x:c r="J5" s="16" t="n">
        <x:f>ROUND(B5+E5-F5-G5-H5-I5,2)</x:f>
        <x:v>0</x:v>
      </x:c>
      <x:c r="K5" s="4" t="str">
        <x:v>Reference_Workbook_2.xlsx!Payment_Detail month total for Feb</x:v>
      </x:c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Mar</x:v>
      </x:c>
      <x:c r="B6" s="16" t="n">
        <x:v>920000</x:v>
      </x:c>
      <x:c r="C6" s="16" t="n">
        <x:v>845000</x:v>
      </x:c>
      <x:c r="D6" s="16" t="n">
        <x:v>335000</x:v>
      </x:c>
      <x:c r="E6" s="16" t="n">
        <x:v>510000</x:v>
      </x:c>
      <x:c r="F6" s="16" t="n">
        <x:v>415000</x:v>
      </x:c>
      <x:c r="G6" s="16" t="n">
        <x:v>15000</x:v>
      </x:c>
      <x:c r="H6" s="16" t="n">
        <x:v>60000</x:v>
      </x:c>
      <x:c r="I6" s="16" t="n">
        <x:v>940000</x:v>
      </x:c>
      <x:c r="J6" s="16" t="n">
        <x:f>ROUND(B6+E6-F6-G6-H6-I6,2)</x:f>
        <x:v>0</x:v>
      </x:c>
      <x:c r="K6" s="4" t="str">
        <x:v>Reference_Workbook_2.xlsx!Payment_Detail month total for Mar</x:v>
      </x:c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Apr</x:v>
      </x:c>
      <x:c r="B7" s="16" t="n">
        <x:v>940000</x:v>
      </x:c>
      <x:c r="C7" s="16" t="n">
        <x:v>870000</x:v>
      </x:c>
      <x:c r="D7" s="16" t="n">
        <x:v>350000</x:v>
      </x:c>
      <x:c r="E7" s="16" t="n">
        <x:v>520000</x:v>
      </x:c>
      <x:c r="F7" s="16" t="n">
        <x:v>420000</x:v>
      </x:c>
      <x:c r="G7" s="16" t="n">
        <x:v>16000</x:v>
      </x:c>
      <x:c r="H7" s="16" t="n">
        <x:v>89000</x:v>
      </x:c>
      <x:c r="I7" s="16" t="n">
        <x:v>935000</x:v>
      </x:c>
      <x:c r="J7" s="16" t="n">
        <x:f>ROUND(B7+E7-F7-G7-H7-I7,2)</x:f>
        <x:v>0</x:v>
      </x:c>
      <x:c r="K7" s="4" t="str">
        <x:v>Reference_Workbook_2.xlsx!Payment_Detail month total for Apr</x:v>
      </x:c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May</x:v>
      </x:c>
      <x:c r="B8" s="16" t="n">
        <x:v>935000</x:v>
      </x:c>
      <x:c r="C8" s="16" t="n">
        <x:v>890000</x:v>
      </x:c>
      <x:c r="D8" s="16" t="n">
        <x:v>355000</x:v>
      </x:c>
      <x:c r="E8" s="16" t="n">
        <x:v>535000</x:v>
      </x:c>
      <x:c r="F8" s="16" t="n">
        <x:v>440000</x:v>
      </x:c>
      <x:c r="G8" s="16" t="n">
        <x:v>17500</x:v>
      </x:c>
      <x:c r="H8" s="16" t="n">
        <x:v>97500</x:v>
      </x:c>
      <x:c r="I8" s="16" t="n">
        <x:v>915000</x:v>
      </x:c>
      <x:c r="J8" s="16" t="n">
        <x:f>ROUND(B8+E8-F8-G8-H8-I8,2)</x:f>
        <x:v>0</x:v>
      </x:c>
      <x:c r="K8" s="4" t="str">
        <x:v>Reference_Workbook_2.xlsx!Payment_Detail month total for May</x:v>
      </x:c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Jun</x:v>
      </x:c>
      <x:c r="B9" s="16" t="n">
        <x:v>915000</x:v>
      </x:c>
      <x:c r="C9" s="16" t="n">
        <x:v>905000</x:v>
      </x:c>
      <x:c r="D9" s="16" t="n">
        <x:v>360000</x:v>
      </x:c>
      <x:c r="E9" s="16" t="n">
        <x:v>545000</x:v>
      </x:c>
      <x:c r="F9" s="16" t="n">
        <x:v>445000</x:v>
      </x:c>
      <x:c r="G9" s="16" t="n">
        <x:v>18000</x:v>
      </x:c>
      <x:c r="H9" s="16" t="n">
        <x:v>77000</x:v>
      </x:c>
      <x:c r="I9" s="16" t="n">
        <x:v>920000</x:v>
      </x:c>
      <x:c r="J9" s="16" t="n">
        <x:f>ROUND(B9+E9-F9-G9-H9-I9,2)</x:f>
        <x:v>0</x:v>
      </x:c>
      <x:c r="K9" s="4" t="str">
        <x:v>Reference_Workbook_2.xlsx!Payment_Detail month total for Jun</x:v>
      </x:c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/>
      <x:c r="B10" s="16"/>
      <x:c r="C10" s="16"/>
      <x:c r="D10" s="16"/>
      <x:c r="E10" s="16"/>
      <x:c r="F10" s="16"/>
      <x:c r="G10" s="16"/>
      <x:c r="H10" s="16"/>
      <x:c r="I10" s="16"/>
      <x:c r="J10" s="16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 t="str">
        <x:v>Total</x:v>
      </x:c>
      <x:c r="B11" s="16" t="n">
        <x:f>SUM(B4:B9)</x:f>
        <x:v>5460000</x:v>
      </x:c>
      <x:c r="C11" s="16" t="n">
        <x:f>SUM(C4:C9)</x:f>
        <x:v>5120000</x:v>
      </x:c>
      <x:c r="D11" s="16" t="n">
        <x:f>SUM(D4:D9)</x:f>
        <x:v>2020000</x:v>
      </x:c>
      <x:c r="E11" s="16" t="n">
        <x:f>SUM(E4:E9)</x:f>
        <x:v>3100000</x:v>
      </x:c>
      <x:c r="F11" s="16" t="n">
        <x:f>SUM(F4:F9)</x:f>
        <x:v>2565000</x:v>
      </x:c>
      <x:c r="G11" s="16" t="n">
        <x:f>SUM(G4:G9)</x:f>
        <x:v>92000</x:v>
      </x:c>
      <x:c r="H11" s="16" t="n">
        <x:f>SUM(H4:H9)</x:f>
        <x:v>373000</x:v>
      </x:c>
      <x:c r="I11" s="16" t="n">
        <x:f>SUM(I4:I9)</x:f>
        <x:v>5530000</x:v>
      </x:c>
      <x:c r="J11" s="16" t="n">
        <x:f>ROUND(SUM(J4:J9),2)</x:f>
        <x:v>0</x:v>
      </x:c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 t="str">
        <x:v>Payment tie check</x:v>
      </x:c>
      <x:c r="B12" s="4" t="str">
        <x:v>A/R Rollforward Payments Posted</x:v>
      </x:c>
      <x:c r="C12" s="4" t="n">
        <x:f>F11</x:f>
        <x:v>2565000</x:v>
      </x:c>
      <x:c r="D12" s="4" t="str">
        <x:v>Workbook 2 Payment_Detail total</x:v>
      </x:c>
      <x:c r="E12" s="4" t="n">
        <x:f>2565000</x:f>
        <x:v>2565000</x:v>
      </x:c>
      <x:c r="F12" s="4" t="str">
        <x:v>Variance</x:v>
      </x:c>
      <x:c r="G12" s="4" t="n">
        <x:f>ROUND(C12-E12,2)</x:f>
        <x:v>0</x:v>
      </x:c>
      <x:c r="H12" s="4" t="str">
        <x:v>Status</x:v>
      </x:c>
      <x:c r="I12" s="4" t="str">
        <x:f>IF(ABS(G12)&lt;=0.01,"Ties within $0.01","Variance exceeds $0.01")</x:f>
        <x:v>Ties within $0.01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